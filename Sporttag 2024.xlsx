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3"/>
  <workbookPr/>
  <mc:AlternateContent xmlns:mc="http://schemas.openxmlformats.org/markup-compatibility/2006">
    <mc:Choice Requires="x15">
      <x15ac:absPath xmlns:x15ac="http://schemas.microsoft.com/office/spreadsheetml/2010/11/ac" url="https://belosech-my.sharepoint.com/personal/andreas_baenninger_belose_ch/Documents/"/>
    </mc:Choice>
  </mc:AlternateContent>
  <xr:revisionPtr revIDLastSave="1055" documentId="13_ncr:1_{AD74628D-BE06-4FC1-BE04-2187DD70E9AC}" xr6:coauthVersionLast="47" xr6:coauthVersionMax="47" xr10:uidLastSave="{ECC746F1-5D77-4B4F-872A-915030BE2A80}"/>
  <bookViews>
    <workbookView xWindow="0" yWindow="-16320" windowWidth="29040" windowHeight="15840" firstSheet="1" activeTab="2" xr2:uid="{00000000-000D-0000-FFFF-FFFF00000000}"/>
  </bookViews>
  <sheets>
    <sheet name="Sheet1" sheetId="1" r:id="rId1"/>
    <sheet name="Tabelle1" sheetId="2" r:id="rId2"/>
    <sheet name="Tabelle2" sheetId="3" r:id="rId3"/>
  </sheets>
  <calcPr calcId="191028"/>
  <pivotCaches>
    <pivotCache cacheId="430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9" i="1" l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16" i="1"/>
  <c r="I217" i="1"/>
  <c r="I198" i="1"/>
  <c r="I34" i="1"/>
  <c r="I199" i="1"/>
  <c r="I35" i="1"/>
  <c r="I200" i="1"/>
  <c r="I201" i="1"/>
  <c r="I56" i="1"/>
  <c r="I57" i="1"/>
  <c r="I208" i="1"/>
  <c r="I209" i="1"/>
  <c r="I192" i="1"/>
  <c r="I193" i="1"/>
  <c r="I215" i="1"/>
  <c r="I214" i="1"/>
  <c r="I212" i="1"/>
  <c r="I213" i="1"/>
  <c r="I211" i="1"/>
  <c r="I210" i="1"/>
  <c r="I158" i="1"/>
  <c r="I157" i="1"/>
  <c r="I160" i="1"/>
  <c r="I159" i="1"/>
  <c r="I180" i="1"/>
  <c r="I186" i="1"/>
  <c r="I112" i="1"/>
  <c r="I111" i="1"/>
  <c r="I2" i="1"/>
  <c r="I187" i="1"/>
  <c r="I85" i="1"/>
  <c r="I84" i="1"/>
  <c r="I250" i="1"/>
  <c r="I228" i="1"/>
  <c r="I179" i="1"/>
  <c r="I251" i="1"/>
  <c r="I229" i="1"/>
  <c r="I100" i="1"/>
  <c r="I101" i="1"/>
  <c r="I87" i="1"/>
  <c r="I86" i="1"/>
  <c r="I29" i="1"/>
  <c r="I12" i="1"/>
  <c r="I143" i="1"/>
  <c r="I144" i="1"/>
  <c r="I55" i="1"/>
  <c r="I54" i="1"/>
  <c r="I53" i="1"/>
  <c r="I52" i="1"/>
  <c r="I162" i="1"/>
  <c r="I185" i="1"/>
  <c r="I124" i="1"/>
  <c r="I161" i="1"/>
  <c r="I123" i="1"/>
  <c r="I33" i="1"/>
  <c r="I5" i="1"/>
  <c r="I95" i="1"/>
  <c r="I94" i="1"/>
  <c r="I132" i="1"/>
  <c r="I184" i="1"/>
  <c r="I131" i="1"/>
  <c r="I234" i="1"/>
  <c r="I236" i="1"/>
  <c r="I235" i="1"/>
  <c r="I237" i="1"/>
  <c r="I103" i="1"/>
  <c r="I102" i="1"/>
  <c r="I4" i="1"/>
  <c r="I26" i="1"/>
  <c r="I97" i="1"/>
  <c r="I96" i="1"/>
  <c r="I65" i="1"/>
  <c r="I64" i="1"/>
  <c r="I156" i="1"/>
  <c r="I155" i="1"/>
  <c r="I107" i="1"/>
  <c r="I183" i="1"/>
  <c r="I108" i="1"/>
  <c r="I133" i="1"/>
  <c r="I134" i="1"/>
  <c r="I10" i="1"/>
  <c r="I23" i="1"/>
  <c r="I233" i="1"/>
  <c r="I230" i="1"/>
  <c r="I231" i="1"/>
  <c r="I232" i="1"/>
  <c r="I62" i="1"/>
  <c r="I69" i="1"/>
  <c r="I182" i="1"/>
  <c r="I68" i="1"/>
  <c r="I63" i="1"/>
  <c r="I110" i="1"/>
  <c r="I109" i="1"/>
  <c r="I6" i="1"/>
  <c r="I3" i="1"/>
  <c r="I181" i="1"/>
  <c r="I80" i="1"/>
  <c r="I81" i="1"/>
  <c r="I191" i="1"/>
  <c r="I175" i="1"/>
  <c r="I104" i="1"/>
  <c r="AI14" i="2"/>
  <c r="C8" i="3" s="1"/>
  <c r="I139" i="1"/>
  <c r="I190" i="1"/>
  <c r="I8" i="1"/>
  <c r="I105" i="1"/>
  <c r="I140" i="1"/>
  <c r="I16" i="1"/>
  <c r="I178" i="1"/>
  <c r="I92" i="1"/>
  <c r="I93" i="1"/>
  <c r="I142" i="1"/>
  <c r="I141" i="1"/>
  <c r="I240" i="1"/>
  <c r="I249" i="1"/>
  <c r="I248" i="1"/>
  <c r="I241" i="1"/>
  <c r="I36" i="1"/>
  <c r="I106" i="1"/>
  <c r="I37" i="1"/>
  <c r="I48" i="1"/>
  <c r="I49" i="1"/>
  <c r="I9" i="1"/>
  <c r="I22" i="1"/>
  <c r="I70" i="1"/>
  <c r="I71" i="1"/>
  <c r="I39" i="1"/>
  <c r="I38" i="1"/>
  <c r="I61" i="1"/>
  <c r="I60" i="1"/>
  <c r="I223" i="1"/>
  <c r="I222" i="1"/>
  <c r="I220" i="1"/>
  <c r="I221" i="1"/>
  <c r="I195" i="1"/>
  <c r="I194" i="1"/>
  <c r="I206" i="1"/>
  <c r="I207" i="1"/>
  <c r="I197" i="1"/>
  <c r="I196" i="1"/>
  <c r="I218" i="1"/>
  <c r="I219" i="1"/>
  <c r="I202" i="1"/>
  <c r="I204" i="1"/>
  <c r="I203" i="1"/>
  <c r="I205" i="1"/>
  <c r="I136" i="1"/>
  <c r="I113" i="1"/>
  <c r="I135" i="1"/>
  <c r="I137" i="1"/>
  <c r="I138" i="1"/>
  <c r="I21" i="1"/>
  <c r="I114" i="1"/>
  <c r="I18" i="1"/>
  <c r="I224" i="1"/>
  <c r="I246" i="1"/>
  <c r="I247" i="1"/>
  <c r="I225" i="1"/>
  <c r="I77" i="1"/>
  <c r="I76" i="1"/>
  <c r="I164" i="1"/>
  <c r="I122" i="1"/>
  <c r="I121" i="1"/>
  <c r="I163" i="1"/>
  <c r="I177" i="1"/>
  <c r="I30" i="1"/>
  <c r="I176" i="1"/>
  <c r="I7" i="1"/>
  <c r="I79" i="1"/>
  <c r="I78" i="1"/>
  <c r="I45" i="1"/>
  <c r="I44" i="1"/>
  <c r="I47" i="1"/>
  <c r="I46" i="1"/>
  <c r="I15" i="1"/>
  <c r="I25" i="1"/>
  <c r="I153" i="1"/>
  <c r="I154" i="1"/>
  <c r="I146" i="1"/>
  <c r="I145" i="1"/>
  <c r="I165" i="1"/>
  <c r="I242" i="1"/>
  <c r="I189" i="1"/>
  <c r="I245" i="1"/>
  <c r="I243" i="1"/>
  <c r="I244" i="1"/>
  <c r="I120" i="1"/>
  <c r="I166" i="1"/>
  <c r="I119" i="1"/>
  <c r="I188" i="1"/>
  <c r="I73" i="1"/>
  <c r="I72" i="1"/>
  <c r="I24" i="1"/>
  <c r="I20" i="1"/>
  <c r="I152" i="1"/>
  <c r="I42" i="1"/>
  <c r="I255" i="1"/>
  <c r="I172" i="1"/>
  <c r="I27" i="1"/>
  <c r="I13" i="1"/>
  <c r="I171" i="1"/>
  <c r="I74" i="1"/>
  <c r="I75" i="1"/>
  <c r="I98" i="1"/>
  <c r="I99" i="1"/>
  <c r="I253" i="1"/>
  <c r="I43" i="1"/>
  <c r="I151" i="1"/>
  <c r="I254" i="1"/>
  <c r="I117" i="1"/>
  <c r="I129" i="1"/>
  <c r="I118" i="1"/>
  <c r="I173" i="1"/>
  <c r="I130" i="1"/>
  <c r="I40" i="1"/>
  <c r="I174" i="1"/>
  <c r="I252" i="1"/>
  <c r="I41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67" i="1"/>
  <c r="I66" i="1"/>
  <c r="I11" i="1"/>
  <c r="I31" i="1"/>
  <c r="I148" i="1"/>
  <c r="I147" i="1"/>
  <c r="I167" i="1"/>
  <c r="I128" i="1"/>
  <c r="I125" i="1"/>
  <c r="I88" i="1"/>
  <c r="I149" i="1"/>
  <c r="I89" i="1"/>
  <c r="I169" i="1"/>
  <c r="I150" i="1"/>
  <c r="I168" i="1"/>
  <c r="I170" i="1"/>
  <c r="I28" i="1"/>
  <c r="I226" i="1"/>
  <c r="I14" i="1"/>
  <c r="I127" i="1"/>
  <c r="I239" i="1"/>
  <c r="I50" i="1"/>
  <c r="I126" i="1"/>
  <c r="I227" i="1"/>
  <c r="I51" i="1"/>
  <c r="I238" i="1"/>
  <c r="I59" i="1"/>
  <c r="I58" i="1"/>
  <c r="I82" i="1"/>
  <c r="I83" i="1"/>
  <c r="I19" i="1"/>
  <c r="I115" i="1"/>
  <c r="I116" i="1"/>
  <c r="I90" i="1"/>
  <c r="I91" i="1"/>
  <c r="I17" i="1"/>
  <c r="I32" i="1"/>
  <c r="AH14" i="2"/>
  <c r="C6" i="3" s="1"/>
  <c r="N14" i="2"/>
  <c r="O14" i="2"/>
  <c r="C25" i="3" s="1"/>
  <c r="P14" i="2"/>
  <c r="C20" i="3" s="1"/>
  <c r="Q14" i="2"/>
  <c r="C9" i="3" s="1"/>
  <c r="R14" i="2"/>
  <c r="S14" i="2"/>
  <c r="C7" i="3" s="1"/>
  <c r="T14" i="2"/>
  <c r="C26" i="3" s="1"/>
  <c r="U14" i="2"/>
  <c r="C11" i="3" s="1"/>
  <c r="V14" i="2"/>
  <c r="C28" i="3" s="1"/>
  <c r="W14" i="2"/>
  <c r="C22" i="3" s="1"/>
  <c r="X14" i="2"/>
  <c r="C16" i="3" s="1"/>
  <c r="Y14" i="2"/>
  <c r="C5" i="3" s="1"/>
  <c r="Z14" i="2"/>
  <c r="C29" i="3" s="1"/>
  <c r="AA14" i="2"/>
  <c r="C32" i="3" s="1"/>
  <c r="AB14" i="2"/>
  <c r="AC14" i="2"/>
  <c r="AD14" i="2"/>
  <c r="C30" i="3" s="1"/>
  <c r="AE14" i="2"/>
  <c r="C3" i="3" s="1"/>
  <c r="AF14" i="2"/>
  <c r="C27" i="3" s="1"/>
  <c r="AG14" i="2"/>
  <c r="C14" i="3" s="1"/>
  <c r="C14" i="2"/>
  <c r="D14" i="2"/>
  <c r="E14" i="2"/>
  <c r="F14" i="2"/>
  <c r="G14" i="2"/>
  <c r="H14" i="2"/>
  <c r="I14" i="2"/>
  <c r="C15" i="3" s="1"/>
  <c r="J14" i="2"/>
  <c r="C31" i="3" s="1"/>
  <c r="K14" i="2"/>
  <c r="L14" i="2"/>
  <c r="C33" i="3" s="1"/>
  <c r="M14" i="2"/>
  <c r="C19" i="3" s="1"/>
  <c r="B14" i="2"/>
  <c r="C12" i="3" l="1"/>
  <c r="B16" i="2"/>
  <c r="M16" i="2"/>
  <c r="L16" i="2"/>
  <c r="C2" i="3"/>
  <c r="K16" i="2"/>
  <c r="J16" i="2"/>
  <c r="I16" i="2"/>
  <c r="C18" i="3"/>
  <c r="H16" i="2"/>
  <c r="C21" i="3"/>
  <c r="G16" i="2"/>
  <c r="C23" i="3"/>
  <c r="F16" i="2"/>
  <c r="E16" i="2"/>
  <c r="C17" i="3"/>
  <c r="D16" i="2"/>
  <c r="C24" i="3"/>
  <c r="C16" i="2"/>
  <c r="AG16" i="2"/>
  <c r="AF16" i="2"/>
  <c r="AE16" i="2"/>
  <c r="AD16" i="2"/>
  <c r="C13" i="3"/>
  <c r="AC16" i="2"/>
  <c r="C4" i="3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C10" i="3"/>
  <c r="N16" i="2"/>
  <c r="AH16" i="2"/>
  <c r="AI16" i="2"/>
</calcChain>
</file>

<file path=xl/sharedStrings.xml><?xml version="1.0" encoding="utf-8"?>
<sst xmlns="http://schemas.openxmlformats.org/spreadsheetml/2006/main" count="1245" uniqueCount="83">
  <si>
    <t>Id</t>
  </si>
  <si>
    <t>Startzeit</t>
  </si>
  <si>
    <t>Fertigstellungszeit</t>
  </si>
  <si>
    <t>E-Mail</t>
  </si>
  <si>
    <t>Name</t>
  </si>
  <si>
    <t>Gruppenfarbe</t>
  </si>
  <si>
    <t>Gruppe Blau</t>
  </si>
  <si>
    <t>Gruppe Grün</t>
  </si>
  <si>
    <t>Gruppe</t>
  </si>
  <si>
    <t>Posten</t>
  </si>
  <si>
    <t>Ball Stafette</t>
  </si>
  <si>
    <t>Paarlauf</t>
  </si>
  <si>
    <t>Bottle-Flip</t>
  </si>
  <si>
    <t>Kaplaturm</t>
  </si>
  <si>
    <t>Tic-Tac-Toe</t>
  </si>
  <si>
    <t>Glocken-Frisbee</t>
  </si>
  <si>
    <t>Papierflieger</t>
  </si>
  <si>
    <t>Wasser schöpfen</t>
  </si>
  <si>
    <t>Tennisball-Zielwurf</t>
  </si>
  <si>
    <t>anonym</t>
  </si>
  <si>
    <t>Blau</t>
  </si>
  <si>
    <t>Giraffe blau</t>
  </si>
  <si>
    <t>Grün</t>
  </si>
  <si>
    <t>Krebs grün</t>
  </si>
  <si>
    <t>Eule grün</t>
  </si>
  <si>
    <t>Fuchs grün</t>
  </si>
  <si>
    <t>Krebs blau</t>
  </si>
  <si>
    <t>Panda blau</t>
  </si>
  <si>
    <t>Affe grün</t>
  </si>
  <si>
    <t>Schaf grün</t>
  </si>
  <si>
    <t>Schildkröte grün</t>
  </si>
  <si>
    <t>Giraffe grün</t>
  </si>
  <si>
    <t>Igel blau</t>
  </si>
  <si>
    <t>Delfin grün</t>
  </si>
  <si>
    <t>Elefant grün</t>
  </si>
  <si>
    <t>Tiger grün</t>
  </si>
  <si>
    <t>Affe blau</t>
  </si>
  <si>
    <t>Katze blau</t>
  </si>
  <si>
    <t>Nilpferd grün</t>
  </si>
  <si>
    <t>Schlange blau</t>
  </si>
  <si>
    <t>Schmetterling blau</t>
  </si>
  <si>
    <t>Nilpferd blau</t>
  </si>
  <si>
    <t>Schaf blau</t>
  </si>
  <si>
    <t>Schildkröte blau</t>
  </si>
  <si>
    <t>Schmetterling grün</t>
  </si>
  <si>
    <t>Tiger blau</t>
  </si>
  <si>
    <t>Eule blau</t>
  </si>
  <si>
    <t>Delfin blau</t>
  </si>
  <si>
    <t>Elefant blau</t>
  </si>
  <si>
    <t>Igel grün</t>
  </si>
  <si>
    <t>Panda grün</t>
  </si>
  <si>
    <t>Schlange grün</t>
  </si>
  <si>
    <t>Katze grün</t>
  </si>
  <si>
    <t>Fuchs blau</t>
  </si>
  <si>
    <t>Fuchs blau</t>
  </si>
  <si>
    <t>Werte</t>
  </si>
  <si>
    <t>(Leer)</t>
  </si>
  <si>
    <t>Summe von Paarlauf</t>
  </si>
  <si>
    <t>Summe von Bottle-Flip</t>
  </si>
  <si>
    <t>Summe von Kaplaturm</t>
  </si>
  <si>
    <t>Summe von Tic-Tac-Toe</t>
  </si>
  <si>
    <t>Summe von Glocken-Frisbee</t>
  </si>
  <si>
    <t>Summe von Papierflieger</t>
  </si>
  <si>
    <t>Summe von Wasser schöpfen</t>
  </si>
  <si>
    <t>Summe von Ball Stafette</t>
  </si>
  <si>
    <t>Summe von Tennisball-Zielwurf</t>
  </si>
  <si>
    <t>Rangpunkte:</t>
  </si>
  <si>
    <t>Rang:</t>
  </si>
  <si>
    <t>Rang</t>
  </si>
  <si>
    <t>Punkte</t>
  </si>
  <si>
    <t>Elefant blau</t>
  </si>
  <si>
    <t>Katze blau</t>
  </si>
  <si>
    <t>Eule blau</t>
  </si>
  <si>
    <t>Schildkröte blau</t>
  </si>
  <si>
    <t>Krebs blau</t>
  </si>
  <si>
    <t>Schlange blau</t>
  </si>
  <si>
    <t>Igel blau</t>
  </si>
  <si>
    <t>Schmetterling blau</t>
  </si>
  <si>
    <t>Nilpferd blau</t>
  </si>
  <si>
    <t>Tiger blau</t>
  </si>
  <si>
    <t>Schaf blau</t>
  </si>
  <si>
    <t>Giraffe blau</t>
  </si>
  <si>
    <t>Panda blau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</si>
</sst>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pivotButton="1"/>
    <xf numFmtId="49" fontId="0" fillId="0" borderId="0" xfId="0" quotePrefix="1" applyNumberFormat="1"/>
    <xf numFmtId="1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Standard" xfId="0" builtinId="0"/>
  </cellStyles>
  <dxfs count="22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468.630321875004" createdVersion="8" refreshedVersion="8" minRefreshableVersion="3" recordCount="319" xr:uid="{205BF927-9FC4-4D89-BB81-FAEE9AAE9DF3}">
  <cacheSource type="worksheet">
    <worksheetSource ref="I1:S630" sheet="Sheet1"/>
  </cacheSource>
  <cacheFields count="11">
    <cacheField name="Gruppe" numFmtId="0">
      <sharedItems containsBlank="1" count="35">
        <s v="Giraffe blau"/>
        <s v="Krebs grün"/>
        <s v="Eule grün"/>
        <s v="Fuchs grün"/>
        <s v="Krebs blau"/>
        <s v="Panda blau"/>
        <s v="Affe grün"/>
        <s v="Schaf grün"/>
        <s v="Schildkröte grün"/>
        <s v="Giraffe grün"/>
        <s v="Igel blau"/>
        <s v="Delfin grün"/>
        <s v="Elefant grün"/>
        <s v="Tiger grün"/>
        <s v="Affe blau"/>
        <s v="Katze blau"/>
        <s v="Nilpferd grün"/>
        <s v="Schlange blau"/>
        <s v="Schmetterling blau"/>
        <s v="Nilpferd blau"/>
        <s v="Schaf blau"/>
        <s v="Schildkröte blau"/>
        <s v="Schmetterling grün"/>
        <s v="Tiger blau"/>
        <s v="Eule blau"/>
        <s v="Delfin blau"/>
        <s v="Elefant blau"/>
        <s v="Igel grün"/>
        <s v="Panda grün"/>
        <s v="Schlange grün"/>
        <s v="Katze grün"/>
        <s v="Fuchs blau"/>
        <s v="Fuchs blau"/>
        <s v=""/>
        <m/>
      </sharedItems>
    </cacheField>
    <cacheField name="Posten" numFmtId="0">
      <sharedItems containsBlank="1"/>
    </cacheField>
    <cacheField name="Ball Stafette" numFmtId="0">
      <sharedItems containsString="0" containsBlank="1" containsNumber="1" minValue="5.25" maxValue="6.8330000000000002"/>
    </cacheField>
    <cacheField name="Paarlauf" numFmtId="0">
      <sharedItems containsString="0" containsBlank="1" containsNumber="1" minValue="2.3199999999999998" maxValue="4.47"/>
    </cacheField>
    <cacheField name="Bottle-Flip" numFmtId="0">
      <sharedItems containsString="0" containsBlank="1" containsNumber="1" containsInteger="1" minValue="1" maxValue="16"/>
    </cacheField>
    <cacheField name="Kaplaturm" numFmtId="0">
      <sharedItems containsString="0" containsBlank="1" containsNumber="1" containsInteger="1" minValue="17" maxValue="129"/>
    </cacheField>
    <cacheField name="Tic-Tac-Toe" numFmtId="0">
      <sharedItems containsString="0" containsBlank="1" containsNumber="1" containsInteger="1" minValue="10" maxValue="19"/>
    </cacheField>
    <cacheField name="Glocken-Frisbee" numFmtId="0">
      <sharedItems containsString="0" containsBlank="1" containsNumber="1" containsInteger="1" minValue="4" maxValue="21"/>
    </cacheField>
    <cacheField name="Papierflieger" numFmtId="0">
      <sharedItems containsString="0" containsBlank="1" containsNumber="1" minValue="6.5" maxValue="21.8"/>
    </cacheField>
    <cacheField name="Wasser schöpfen" numFmtId="0">
      <sharedItems containsString="0" containsBlank="1" containsNumber="1" containsInteger="1" minValue="7" maxValue="16"/>
    </cacheField>
    <cacheField name="Tennisball-Zielwurf" numFmtId="0">
      <sharedItems containsString="0" containsBlank="1" containsNumber="1" minValue="0" maxValue="1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9">
  <r>
    <x v="0"/>
    <s v="Bottle-Flip"/>
    <m/>
    <m/>
    <n v="1"/>
    <m/>
    <m/>
    <m/>
    <m/>
    <m/>
    <m/>
  </r>
  <r>
    <x v="1"/>
    <s v="Bottle-Flip"/>
    <m/>
    <m/>
    <n v="3"/>
    <m/>
    <m/>
    <m/>
    <m/>
    <m/>
    <m/>
  </r>
  <r>
    <x v="2"/>
    <s v="Bottle-Flip"/>
    <m/>
    <m/>
    <n v="4"/>
    <m/>
    <m/>
    <m/>
    <m/>
    <m/>
    <m/>
  </r>
  <r>
    <x v="3"/>
    <s v="Bottle-Flip"/>
    <m/>
    <m/>
    <n v="4"/>
    <m/>
    <m/>
    <m/>
    <m/>
    <m/>
    <m/>
  </r>
  <r>
    <x v="4"/>
    <s v="Bottle-Flip"/>
    <m/>
    <m/>
    <n v="4"/>
    <m/>
    <m/>
    <m/>
    <m/>
    <m/>
    <m/>
  </r>
  <r>
    <x v="5"/>
    <s v="Bottle-Flip"/>
    <m/>
    <m/>
    <n v="4"/>
    <m/>
    <m/>
    <m/>
    <m/>
    <m/>
    <m/>
  </r>
  <r>
    <x v="6"/>
    <s v="Bottle-Flip"/>
    <m/>
    <m/>
    <n v="5"/>
    <m/>
    <m/>
    <m/>
    <m/>
    <m/>
    <m/>
  </r>
  <r>
    <x v="7"/>
    <s v="Bottle-Flip"/>
    <m/>
    <m/>
    <n v="5"/>
    <m/>
    <m/>
    <m/>
    <m/>
    <m/>
    <m/>
  </r>
  <r>
    <x v="8"/>
    <s v="Bottle-Flip"/>
    <m/>
    <m/>
    <n v="5"/>
    <m/>
    <m/>
    <m/>
    <m/>
    <m/>
    <m/>
  </r>
  <r>
    <x v="9"/>
    <s v="Bottle-Flip"/>
    <m/>
    <m/>
    <n v="6"/>
    <m/>
    <m/>
    <m/>
    <m/>
    <m/>
    <m/>
  </r>
  <r>
    <x v="10"/>
    <s v="Bottle-Flip"/>
    <m/>
    <m/>
    <n v="6"/>
    <m/>
    <m/>
    <m/>
    <m/>
    <m/>
    <m/>
  </r>
  <r>
    <x v="11"/>
    <s v="Bottle-Flip"/>
    <m/>
    <m/>
    <n v="7"/>
    <m/>
    <m/>
    <m/>
    <m/>
    <m/>
    <m/>
  </r>
  <r>
    <x v="12"/>
    <s v="Bottle-Flip"/>
    <m/>
    <m/>
    <n v="7"/>
    <m/>
    <m/>
    <m/>
    <m/>
    <m/>
    <m/>
  </r>
  <r>
    <x v="13"/>
    <s v="Bottle-Flip"/>
    <m/>
    <m/>
    <n v="7"/>
    <m/>
    <m/>
    <m/>
    <m/>
    <m/>
    <m/>
  </r>
  <r>
    <x v="14"/>
    <s v="Bottle-Flip"/>
    <m/>
    <m/>
    <n v="8"/>
    <m/>
    <m/>
    <m/>
    <m/>
    <m/>
    <m/>
  </r>
  <r>
    <x v="15"/>
    <s v="Bottle-Flip"/>
    <m/>
    <m/>
    <n v="8"/>
    <m/>
    <m/>
    <m/>
    <m/>
    <m/>
    <m/>
  </r>
  <r>
    <x v="16"/>
    <s v="Bottle-Flip"/>
    <m/>
    <m/>
    <n v="8"/>
    <m/>
    <m/>
    <m/>
    <m/>
    <m/>
    <m/>
  </r>
  <r>
    <x v="17"/>
    <s v="Bottle-Flip"/>
    <m/>
    <m/>
    <n v="8"/>
    <m/>
    <m/>
    <m/>
    <m/>
    <m/>
    <m/>
  </r>
  <r>
    <x v="18"/>
    <s v="Bottle-Flip"/>
    <m/>
    <m/>
    <n v="8"/>
    <m/>
    <m/>
    <m/>
    <m/>
    <m/>
    <m/>
  </r>
  <r>
    <x v="19"/>
    <s v="Bottle-Flip"/>
    <m/>
    <m/>
    <n v="9"/>
    <m/>
    <m/>
    <m/>
    <m/>
    <m/>
    <m/>
  </r>
  <r>
    <x v="20"/>
    <s v="Bottle-Flip"/>
    <m/>
    <m/>
    <n v="9"/>
    <m/>
    <m/>
    <m/>
    <m/>
    <m/>
    <m/>
  </r>
  <r>
    <x v="21"/>
    <s v="Bottle-Flip"/>
    <m/>
    <m/>
    <n v="9"/>
    <m/>
    <m/>
    <m/>
    <m/>
    <m/>
    <m/>
  </r>
  <r>
    <x v="22"/>
    <s v="Bottle-Flip"/>
    <m/>
    <m/>
    <n v="9"/>
    <m/>
    <m/>
    <m/>
    <m/>
    <m/>
    <m/>
  </r>
  <r>
    <x v="23"/>
    <s v="Bottle-Flip"/>
    <m/>
    <m/>
    <n v="9"/>
    <m/>
    <m/>
    <m/>
    <m/>
    <m/>
    <m/>
  </r>
  <r>
    <x v="24"/>
    <s v="Bottle-Flip"/>
    <m/>
    <m/>
    <n v="10"/>
    <m/>
    <m/>
    <m/>
    <m/>
    <m/>
    <m/>
  </r>
  <r>
    <x v="25"/>
    <s v="Bottle-Flip"/>
    <m/>
    <m/>
    <n v="11"/>
    <m/>
    <m/>
    <m/>
    <m/>
    <m/>
    <m/>
  </r>
  <r>
    <x v="26"/>
    <s v="Bottle-Flip"/>
    <m/>
    <m/>
    <n v="11"/>
    <m/>
    <m/>
    <m/>
    <m/>
    <m/>
    <m/>
  </r>
  <r>
    <x v="27"/>
    <s v="Bottle-Flip"/>
    <m/>
    <m/>
    <n v="12"/>
    <m/>
    <m/>
    <m/>
    <m/>
    <m/>
    <m/>
  </r>
  <r>
    <x v="28"/>
    <s v="Bottle-Flip"/>
    <m/>
    <m/>
    <n v="13"/>
    <m/>
    <m/>
    <m/>
    <m/>
    <m/>
    <m/>
  </r>
  <r>
    <x v="29"/>
    <s v="Bottle-Flip"/>
    <m/>
    <m/>
    <n v="13"/>
    <m/>
    <m/>
    <m/>
    <m/>
    <m/>
    <m/>
  </r>
  <r>
    <x v="30"/>
    <s v="Bottle-Flip"/>
    <m/>
    <m/>
    <n v="14"/>
    <m/>
    <m/>
    <m/>
    <m/>
    <m/>
    <m/>
  </r>
  <r>
    <x v="31"/>
    <s v="Bottle-Flip"/>
    <m/>
    <m/>
    <n v="16"/>
    <m/>
    <m/>
    <m/>
    <m/>
    <m/>
    <m/>
  </r>
  <r>
    <x v="14"/>
    <s v="Glocken-Frisbee"/>
    <m/>
    <m/>
    <m/>
    <m/>
    <m/>
    <n v="11"/>
    <m/>
    <m/>
    <m/>
  </r>
  <r>
    <x v="6"/>
    <s v="Glocken-Frisbee"/>
    <m/>
    <m/>
    <m/>
    <m/>
    <m/>
    <n v="11"/>
    <m/>
    <m/>
    <m/>
  </r>
  <r>
    <x v="25"/>
    <s v="Glocken-Frisbee"/>
    <m/>
    <m/>
    <m/>
    <m/>
    <m/>
    <n v="7"/>
    <m/>
    <m/>
    <m/>
  </r>
  <r>
    <x v="11"/>
    <s v="Glocken-Frisbee"/>
    <m/>
    <m/>
    <m/>
    <m/>
    <m/>
    <n v="13"/>
    <m/>
    <m/>
    <m/>
  </r>
  <r>
    <x v="12"/>
    <s v="Glocken-Frisbee"/>
    <m/>
    <m/>
    <m/>
    <m/>
    <m/>
    <n v="9"/>
    <m/>
    <m/>
    <m/>
  </r>
  <r>
    <x v="26"/>
    <s v="Glocken-Frisbee"/>
    <m/>
    <m/>
    <m/>
    <m/>
    <m/>
    <n v="16"/>
    <m/>
    <m/>
    <m/>
  </r>
  <r>
    <x v="2"/>
    <s v="Glocken-Frisbee"/>
    <m/>
    <m/>
    <m/>
    <m/>
    <m/>
    <n v="16"/>
    <m/>
    <m/>
    <m/>
  </r>
  <r>
    <x v="24"/>
    <s v="Glocken-Frisbee"/>
    <m/>
    <m/>
    <m/>
    <m/>
    <m/>
    <n v="16"/>
    <m/>
    <m/>
    <m/>
  </r>
  <r>
    <x v="32"/>
    <s v="Glocken-Frisbee"/>
    <m/>
    <m/>
    <m/>
    <m/>
    <m/>
    <n v="15"/>
    <m/>
    <m/>
    <m/>
  </r>
  <r>
    <x v="3"/>
    <s v="Glocken-Frisbee"/>
    <m/>
    <m/>
    <m/>
    <m/>
    <m/>
    <n v="13"/>
    <m/>
    <m/>
    <m/>
  </r>
  <r>
    <x v="9"/>
    <s v="Glocken-Frisbee"/>
    <m/>
    <m/>
    <m/>
    <m/>
    <m/>
    <n v="9"/>
    <m/>
    <m/>
    <m/>
  </r>
  <r>
    <x v="0"/>
    <s v="Glocken-Frisbee"/>
    <m/>
    <m/>
    <m/>
    <m/>
    <m/>
    <n v="7"/>
    <m/>
    <m/>
    <m/>
  </r>
  <r>
    <x v="27"/>
    <s v="Glocken-Frisbee"/>
    <m/>
    <m/>
    <m/>
    <m/>
    <m/>
    <n v="10"/>
    <m/>
    <m/>
    <m/>
  </r>
  <r>
    <x v="10"/>
    <s v="Glocken-Frisbee"/>
    <m/>
    <m/>
    <m/>
    <m/>
    <m/>
    <n v="21"/>
    <m/>
    <m/>
    <m/>
  </r>
  <r>
    <x v="30"/>
    <s v="Glocken-Frisbee"/>
    <m/>
    <m/>
    <m/>
    <m/>
    <m/>
    <n v="12"/>
    <m/>
    <m/>
    <m/>
  </r>
  <r>
    <x v="15"/>
    <s v="Glocken-Frisbee"/>
    <m/>
    <m/>
    <m/>
    <m/>
    <m/>
    <n v="12"/>
    <m/>
    <m/>
    <m/>
  </r>
  <r>
    <x v="1"/>
    <s v="Glocken-Frisbee"/>
    <m/>
    <m/>
    <m/>
    <m/>
    <m/>
    <n v="14"/>
    <m/>
    <m/>
    <m/>
  </r>
  <r>
    <x v="4"/>
    <s v="Glocken-Frisbee"/>
    <m/>
    <m/>
    <m/>
    <m/>
    <m/>
    <n v="16"/>
    <m/>
    <m/>
    <m/>
  </r>
  <r>
    <x v="16"/>
    <s v="Glocken-Frisbee"/>
    <m/>
    <m/>
    <m/>
    <m/>
    <m/>
    <n v="10"/>
    <m/>
    <m/>
    <m/>
  </r>
  <r>
    <x v="19"/>
    <s v="Glocken-Frisbee"/>
    <m/>
    <m/>
    <m/>
    <m/>
    <m/>
    <n v="8"/>
    <m/>
    <m/>
    <m/>
  </r>
  <r>
    <x v="28"/>
    <s v="Glocken-Frisbee"/>
    <m/>
    <m/>
    <m/>
    <m/>
    <m/>
    <n v="16"/>
    <m/>
    <m/>
    <m/>
  </r>
  <r>
    <x v="5"/>
    <s v="Glocken-Frisbee"/>
    <m/>
    <m/>
    <m/>
    <m/>
    <m/>
    <n v="9"/>
    <m/>
    <m/>
    <m/>
  </r>
  <r>
    <x v="7"/>
    <s v="Glocken-Frisbee"/>
    <m/>
    <m/>
    <m/>
    <m/>
    <m/>
    <n v="10"/>
    <m/>
    <m/>
    <m/>
  </r>
  <r>
    <x v="20"/>
    <s v="Glocken-Frisbee"/>
    <m/>
    <m/>
    <m/>
    <m/>
    <m/>
    <n v="4"/>
    <m/>
    <m/>
    <m/>
  </r>
  <r>
    <x v="8"/>
    <s v="Glocken-Frisbee"/>
    <m/>
    <m/>
    <m/>
    <m/>
    <m/>
    <n v="17"/>
    <m/>
    <m/>
    <m/>
  </r>
  <r>
    <x v="21"/>
    <s v="Glocken-Frisbee"/>
    <m/>
    <m/>
    <m/>
    <m/>
    <m/>
    <n v="10"/>
    <m/>
    <m/>
    <m/>
  </r>
  <r>
    <x v="29"/>
    <s v="Glocken-Frisbee"/>
    <m/>
    <m/>
    <m/>
    <m/>
    <m/>
    <n v="17"/>
    <m/>
    <m/>
    <m/>
  </r>
  <r>
    <x v="17"/>
    <s v="Glocken-Frisbee"/>
    <m/>
    <m/>
    <m/>
    <m/>
    <m/>
    <n v="14"/>
    <m/>
    <m/>
    <m/>
  </r>
  <r>
    <x v="22"/>
    <s v="Glocken-Frisbee"/>
    <m/>
    <m/>
    <m/>
    <m/>
    <m/>
    <m/>
    <m/>
    <m/>
    <n v="1"/>
  </r>
  <r>
    <x v="18"/>
    <s v="Glocken-Frisbee"/>
    <m/>
    <m/>
    <m/>
    <m/>
    <m/>
    <n v="5"/>
    <m/>
    <m/>
    <m/>
  </r>
  <r>
    <x v="13"/>
    <s v="Glocken-Frisbee"/>
    <m/>
    <m/>
    <m/>
    <m/>
    <m/>
    <n v="4"/>
    <m/>
    <m/>
    <m/>
  </r>
  <r>
    <x v="23"/>
    <s v="Glocken-Frisbee"/>
    <m/>
    <m/>
    <m/>
    <m/>
    <m/>
    <n v="5"/>
    <m/>
    <m/>
    <m/>
  </r>
  <r>
    <x v="14"/>
    <s v="Kaplaturm"/>
    <m/>
    <m/>
    <m/>
    <n v="20"/>
    <m/>
    <m/>
    <m/>
    <m/>
    <m/>
  </r>
  <r>
    <x v="6"/>
    <s v="Kaplaturm"/>
    <m/>
    <m/>
    <m/>
    <n v="76"/>
    <m/>
    <m/>
    <m/>
    <m/>
    <m/>
  </r>
  <r>
    <x v="25"/>
    <s v="Kaplaturm"/>
    <m/>
    <m/>
    <m/>
    <n v="114"/>
    <m/>
    <m/>
    <m/>
    <m/>
    <m/>
  </r>
  <r>
    <x v="11"/>
    <s v="Kaplaturm"/>
    <m/>
    <m/>
    <m/>
    <n v="112"/>
    <m/>
    <m/>
    <m/>
    <m/>
    <m/>
  </r>
  <r>
    <x v="12"/>
    <s v="Kaplaturm"/>
    <m/>
    <m/>
    <m/>
    <n v="99"/>
    <m/>
    <m/>
    <m/>
    <m/>
    <m/>
  </r>
  <r>
    <x v="26"/>
    <s v="Kaplaturm"/>
    <m/>
    <m/>
    <m/>
    <n v="88"/>
    <m/>
    <m/>
    <m/>
    <m/>
    <m/>
  </r>
  <r>
    <x v="2"/>
    <s v="Kaplaturm"/>
    <m/>
    <m/>
    <m/>
    <n v="109"/>
    <m/>
    <m/>
    <m/>
    <m/>
    <m/>
  </r>
  <r>
    <x v="24"/>
    <s v="Kaplaturm"/>
    <m/>
    <m/>
    <m/>
    <n v="109"/>
    <m/>
    <m/>
    <m/>
    <m/>
    <m/>
  </r>
  <r>
    <x v="3"/>
    <s v="Kaplaturm"/>
    <m/>
    <m/>
    <m/>
    <n v="53"/>
    <m/>
    <m/>
    <m/>
    <m/>
    <m/>
  </r>
  <r>
    <x v="31"/>
    <s v="Kaplaturm"/>
    <m/>
    <m/>
    <m/>
    <n v="63"/>
    <m/>
    <m/>
    <m/>
    <m/>
    <m/>
  </r>
  <r>
    <x v="9"/>
    <s v="Kaplaturm"/>
    <m/>
    <m/>
    <m/>
    <n v="108"/>
    <m/>
    <m/>
    <m/>
    <m/>
    <m/>
  </r>
  <r>
    <x v="0"/>
    <s v="Kaplaturm"/>
    <m/>
    <m/>
    <m/>
    <n v="126"/>
    <m/>
    <m/>
    <m/>
    <m/>
    <m/>
  </r>
  <r>
    <x v="27"/>
    <s v="Kaplaturm"/>
    <m/>
    <m/>
    <m/>
    <n v="67"/>
    <m/>
    <m/>
    <m/>
    <m/>
    <m/>
  </r>
  <r>
    <x v="10"/>
    <s v="Kaplaturm"/>
    <m/>
    <m/>
    <m/>
    <n v="67"/>
    <m/>
    <m/>
    <m/>
    <m/>
    <m/>
  </r>
  <r>
    <x v="30"/>
    <s v="Kaplaturm"/>
    <m/>
    <m/>
    <m/>
    <n v="37"/>
    <m/>
    <m/>
    <m/>
    <m/>
    <m/>
  </r>
  <r>
    <x v="15"/>
    <s v="Kaplaturm"/>
    <m/>
    <m/>
    <m/>
    <n v="92"/>
    <m/>
    <m/>
    <m/>
    <m/>
    <m/>
  </r>
  <r>
    <x v="1"/>
    <s v="Kaplaturm"/>
    <m/>
    <m/>
    <m/>
    <n v="17"/>
    <m/>
    <m/>
    <m/>
    <m/>
    <m/>
  </r>
  <r>
    <x v="4"/>
    <s v="Kaplaturm"/>
    <m/>
    <m/>
    <m/>
    <n v="115"/>
    <m/>
    <m/>
    <m/>
    <m/>
    <m/>
  </r>
  <r>
    <x v="16"/>
    <s v="Kaplaturm"/>
    <m/>
    <m/>
    <m/>
    <n v="109"/>
    <m/>
    <m/>
    <m/>
    <m/>
    <m/>
  </r>
  <r>
    <x v="19"/>
    <s v="Kaplaturm"/>
    <m/>
    <m/>
    <m/>
    <n v="104"/>
    <m/>
    <m/>
    <m/>
    <m/>
    <m/>
  </r>
  <r>
    <x v="28"/>
    <s v="Kaplaturm"/>
    <m/>
    <m/>
    <m/>
    <n v="78"/>
    <m/>
    <m/>
    <m/>
    <m/>
    <m/>
  </r>
  <r>
    <x v="5"/>
    <s v="Kaplaturm"/>
    <m/>
    <m/>
    <m/>
    <n v="21"/>
    <m/>
    <m/>
    <m/>
    <m/>
    <m/>
  </r>
  <r>
    <x v="7"/>
    <s v="Kaplaturm"/>
    <m/>
    <m/>
    <m/>
    <n v="80"/>
    <m/>
    <m/>
    <m/>
    <m/>
    <m/>
  </r>
  <r>
    <x v="20"/>
    <s v="Kaplaturm"/>
    <m/>
    <m/>
    <m/>
    <n v="95"/>
    <m/>
    <m/>
    <m/>
    <m/>
    <m/>
  </r>
  <r>
    <x v="8"/>
    <s v="Kaplaturm"/>
    <m/>
    <m/>
    <m/>
    <n v="118"/>
    <m/>
    <m/>
    <m/>
    <m/>
    <m/>
  </r>
  <r>
    <x v="21"/>
    <s v="Kaplaturm"/>
    <m/>
    <m/>
    <m/>
    <n v="129"/>
    <m/>
    <m/>
    <m/>
    <m/>
    <m/>
  </r>
  <r>
    <x v="29"/>
    <s v="Kaplaturm"/>
    <m/>
    <m/>
    <m/>
    <n v="125"/>
    <m/>
    <m/>
    <m/>
    <m/>
    <m/>
  </r>
  <r>
    <x v="17"/>
    <s v="Kaplaturm"/>
    <m/>
    <m/>
    <m/>
    <n v="113"/>
    <m/>
    <m/>
    <m/>
    <m/>
    <m/>
  </r>
  <r>
    <x v="22"/>
    <s v="Kaplaturm"/>
    <m/>
    <m/>
    <m/>
    <n v="115"/>
    <m/>
    <m/>
    <m/>
    <m/>
    <m/>
  </r>
  <r>
    <x v="18"/>
    <s v="Kaplaturm"/>
    <m/>
    <m/>
    <m/>
    <n v="86"/>
    <m/>
    <m/>
    <m/>
    <m/>
    <m/>
  </r>
  <r>
    <x v="13"/>
    <s v="Kaplaturm"/>
    <m/>
    <m/>
    <m/>
    <n v="68"/>
    <m/>
    <m/>
    <m/>
    <m/>
    <m/>
  </r>
  <r>
    <x v="23"/>
    <s v="Kaplaturm"/>
    <m/>
    <m/>
    <m/>
    <n v="89"/>
    <m/>
    <m/>
    <m/>
    <m/>
    <m/>
  </r>
  <r>
    <x v="14"/>
    <s v="Paarlauf"/>
    <m/>
    <n v="2.4700000000000002"/>
    <m/>
    <m/>
    <m/>
    <m/>
    <m/>
    <m/>
    <m/>
  </r>
  <r>
    <x v="6"/>
    <s v="Paarlauf"/>
    <m/>
    <n v="2.3199999999999998"/>
    <m/>
    <m/>
    <m/>
    <m/>
    <m/>
    <m/>
    <m/>
  </r>
  <r>
    <x v="25"/>
    <s v="Paarlauf"/>
    <m/>
    <n v="3.33"/>
    <m/>
    <m/>
    <m/>
    <m/>
    <m/>
    <m/>
    <m/>
  </r>
  <r>
    <x v="11"/>
    <s v="Paarlauf"/>
    <m/>
    <n v="3.1"/>
    <m/>
    <m/>
    <m/>
    <m/>
    <m/>
    <m/>
    <m/>
  </r>
  <r>
    <x v="12"/>
    <s v="Paarlauf"/>
    <m/>
    <n v="3.05"/>
    <m/>
    <m/>
    <m/>
    <m/>
    <m/>
    <m/>
    <m/>
  </r>
  <r>
    <x v="26"/>
    <s v="Paarlauf"/>
    <m/>
    <n v="3.04"/>
    <m/>
    <m/>
    <m/>
    <m/>
    <m/>
    <m/>
    <m/>
  </r>
  <r>
    <x v="2"/>
    <s v="Paarlauf"/>
    <m/>
    <n v="4.47"/>
    <m/>
    <m/>
    <m/>
    <m/>
    <m/>
    <m/>
    <m/>
  </r>
  <r>
    <x v="24"/>
    <s v="Paarlauf"/>
    <m/>
    <n v="3.05"/>
    <m/>
    <m/>
    <m/>
    <m/>
    <m/>
    <m/>
    <m/>
  </r>
  <r>
    <x v="3"/>
    <s v="Paarlauf"/>
    <m/>
    <n v="4.04"/>
    <m/>
    <m/>
    <m/>
    <m/>
    <m/>
    <m/>
    <m/>
  </r>
  <r>
    <x v="9"/>
    <s v="Paarlauf"/>
    <m/>
    <n v="3.44"/>
    <m/>
    <m/>
    <m/>
    <m/>
    <m/>
    <m/>
    <m/>
  </r>
  <r>
    <x v="0"/>
    <s v="Paarlauf"/>
    <m/>
    <n v="3.24"/>
    <m/>
    <m/>
    <m/>
    <m/>
    <m/>
    <m/>
    <m/>
  </r>
  <r>
    <x v="27"/>
    <s v="Paarlauf"/>
    <m/>
    <n v="3.03"/>
    <m/>
    <m/>
    <m/>
    <m/>
    <m/>
    <m/>
    <m/>
  </r>
  <r>
    <x v="10"/>
    <s v="Paarlauf"/>
    <m/>
    <n v="2.59"/>
    <m/>
    <m/>
    <m/>
    <m/>
    <m/>
    <m/>
    <m/>
  </r>
  <r>
    <x v="30"/>
    <s v="Paarlauf"/>
    <m/>
    <n v="2.58"/>
    <m/>
    <m/>
    <m/>
    <m/>
    <m/>
    <m/>
    <m/>
  </r>
  <r>
    <x v="15"/>
    <s v="Paarlauf"/>
    <m/>
    <n v="3.15"/>
    <m/>
    <m/>
    <m/>
    <m/>
    <m/>
    <m/>
    <m/>
  </r>
  <r>
    <x v="1"/>
    <s v="Paarlauf"/>
    <m/>
    <n v="3.47"/>
    <m/>
    <m/>
    <m/>
    <m/>
    <m/>
    <m/>
    <m/>
  </r>
  <r>
    <x v="4"/>
    <s v="Paarlauf"/>
    <m/>
    <n v="3.16"/>
    <m/>
    <m/>
    <m/>
    <m/>
    <m/>
    <m/>
    <m/>
  </r>
  <r>
    <x v="16"/>
    <s v="Paarlauf"/>
    <m/>
    <n v="2.48"/>
    <m/>
    <m/>
    <m/>
    <m/>
    <m/>
    <m/>
    <m/>
  </r>
  <r>
    <x v="19"/>
    <s v="Paarlauf"/>
    <m/>
    <n v="3.03"/>
    <m/>
    <m/>
    <m/>
    <m/>
    <m/>
    <m/>
    <m/>
  </r>
  <r>
    <x v="28"/>
    <s v="Paarlauf"/>
    <m/>
    <n v="2.4500000000000002"/>
    <m/>
    <m/>
    <m/>
    <m/>
    <m/>
    <m/>
    <m/>
  </r>
  <r>
    <x v="5"/>
    <s v="Paarlauf"/>
    <m/>
    <n v="2.59"/>
    <m/>
    <m/>
    <m/>
    <m/>
    <m/>
    <m/>
    <m/>
  </r>
  <r>
    <x v="7"/>
    <s v="Paarlauf"/>
    <m/>
    <n v="2.5099999999999998"/>
    <m/>
    <m/>
    <m/>
    <m/>
    <m/>
    <m/>
    <m/>
  </r>
  <r>
    <x v="20"/>
    <s v="Paarlauf"/>
    <m/>
    <n v="3.08"/>
    <m/>
    <m/>
    <m/>
    <m/>
    <m/>
    <m/>
    <m/>
  </r>
  <r>
    <x v="8"/>
    <s v="Paarlauf"/>
    <m/>
    <n v="3.21"/>
    <m/>
    <m/>
    <m/>
    <m/>
    <m/>
    <m/>
    <m/>
  </r>
  <r>
    <x v="21"/>
    <s v="Paarlauf"/>
    <m/>
    <n v="3.34"/>
    <m/>
    <m/>
    <m/>
    <m/>
    <m/>
    <m/>
    <m/>
  </r>
  <r>
    <x v="29"/>
    <s v="Paarlauf"/>
    <m/>
    <n v="3.52"/>
    <m/>
    <m/>
    <m/>
    <m/>
    <m/>
    <m/>
    <m/>
  </r>
  <r>
    <x v="17"/>
    <s v="Paarlauf"/>
    <m/>
    <n v="3.38"/>
    <m/>
    <m/>
    <m/>
    <m/>
    <m/>
    <m/>
    <m/>
  </r>
  <r>
    <x v="22"/>
    <s v="Paarlauf"/>
    <m/>
    <n v="4.1100000000000003"/>
    <m/>
    <m/>
    <m/>
    <m/>
    <m/>
    <m/>
    <m/>
  </r>
  <r>
    <x v="18"/>
    <s v="Paarlauf"/>
    <m/>
    <n v="3.34"/>
    <m/>
    <m/>
    <m/>
    <m/>
    <m/>
    <m/>
    <m/>
  </r>
  <r>
    <x v="13"/>
    <s v="Paarlauf"/>
    <m/>
    <n v="2.5099999999999998"/>
    <m/>
    <m/>
    <m/>
    <m/>
    <m/>
    <m/>
    <m/>
  </r>
  <r>
    <x v="23"/>
    <s v="Paarlauf"/>
    <m/>
    <n v="3.44"/>
    <m/>
    <m/>
    <m/>
    <m/>
    <m/>
    <m/>
    <m/>
  </r>
  <r>
    <x v="14"/>
    <s v="Papierflieger"/>
    <m/>
    <m/>
    <m/>
    <m/>
    <m/>
    <m/>
    <n v="16.7"/>
    <m/>
    <m/>
  </r>
  <r>
    <x v="6"/>
    <s v="Papierflieger"/>
    <m/>
    <m/>
    <m/>
    <m/>
    <m/>
    <m/>
    <n v="8.9"/>
    <m/>
    <m/>
  </r>
  <r>
    <x v="25"/>
    <s v="Papierflieger"/>
    <m/>
    <m/>
    <m/>
    <m/>
    <m/>
    <m/>
    <n v="10"/>
    <m/>
    <m/>
  </r>
  <r>
    <x v="11"/>
    <s v="Papierflieger"/>
    <m/>
    <m/>
    <m/>
    <m/>
    <m/>
    <m/>
    <n v="10.3"/>
    <m/>
    <m/>
  </r>
  <r>
    <x v="12"/>
    <s v="Papierflieger"/>
    <m/>
    <m/>
    <m/>
    <m/>
    <m/>
    <m/>
    <n v="17"/>
    <m/>
    <m/>
  </r>
  <r>
    <x v="26"/>
    <s v="Papierflieger"/>
    <m/>
    <m/>
    <m/>
    <m/>
    <m/>
    <m/>
    <n v="17.5"/>
    <m/>
    <m/>
  </r>
  <r>
    <x v="2"/>
    <s v="Papierflieger"/>
    <m/>
    <m/>
    <m/>
    <m/>
    <m/>
    <m/>
    <n v="18.100000000000001"/>
    <m/>
    <m/>
  </r>
  <r>
    <x v="24"/>
    <s v="Papierflieger"/>
    <m/>
    <m/>
    <m/>
    <m/>
    <m/>
    <m/>
    <n v="13.1"/>
    <m/>
    <m/>
  </r>
  <r>
    <x v="3"/>
    <s v="Papierflieger"/>
    <m/>
    <m/>
    <m/>
    <m/>
    <m/>
    <m/>
    <n v="13.2"/>
    <m/>
    <m/>
  </r>
  <r>
    <x v="31"/>
    <s v="Papierflieger"/>
    <m/>
    <m/>
    <m/>
    <m/>
    <m/>
    <m/>
    <n v="16.899999999999999"/>
    <m/>
    <m/>
  </r>
  <r>
    <x v="9"/>
    <s v="Papierflieger"/>
    <m/>
    <m/>
    <m/>
    <m/>
    <m/>
    <m/>
    <n v="13.4"/>
    <m/>
    <m/>
  </r>
  <r>
    <x v="0"/>
    <s v="Papierflieger"/>
    <m/>
    <m/>
    <m/>
    <m/>
    <m/>
    <m/>
    <n v="9.4"/>
    <m/>
    <m/>
  </r>
  <r>
    <x v="27"/>
    <s v="Papierflieger"/>
    <m/>
    <m/>
    <m/>
    <m/>
    <m/>
    <m/>
    <n v="17.2"/>
    <m/>
    <m/>
  </r>
  <r>
    <x v="10"/>
    <s v="Papierflieger"/>
    <m/>
    <m/>
    <m/>
    <m/>
    <m/>
    <m/>
    <n v="16"/>
    <m/>
    <m/>
  </r>
  <r>
    <x v="30"/>
    <s v="Papierflieger"/>
    <m/>
    <m/>
    <m/>
    <m/>
    <m/>
    <m/>
    <n v="7.8"/>
    <m/>
    <m/>
  </r>
  <r>
    <x v="15"/>
    <s v="Papierflieger"/>
    <m/>
    <m/>
    <m/>
    <m/>
    <m/>
    <m/>
    <n v="21.8"/>
    <m/>
    <m/>
  </r>
  <r>
    <x v="1"/>
    <s v="Papierflieger"/>
    <m/>
    <m/>
    <m/>
    <m/>
    <m/>
    <m/>
    <n v="18"/>
    <m/>
    <m/>
  </r>
  <r>
    <x v="4"/>
    <s v="Papierflieger"/>
    <m/>
    <m/>
    <m/>
    <m/>
    <m/>
    <m/>
    <n v="11.3"/>
    <m/>
    <m/>
  </r>
  <r>
    <x v="16"/>
    <s v="Papierflieger"/>
    <m/>
    <m/>
    <m/>
    <m/>
    <m/>
    <m/>
    <n v="12"/>
    <m/>
    <m/>
  </r>
  <r>
    <x v="19"/>
    <s v="Papierflieger"/>
    <m/>
    <m/>
    <m/>
    <m/>
    <m/>
    <m/>
    <n v="10.3"/>
    <m/>
    <m/>
  </r>
  <r>
    <x v="28"/>
    <s v="Papierflieger"/>
    <m/>
    <m/>
    <m/>
    <m/>
    <m/>
    <m/>
    <n v="14.3"/>
    <m/>
    <m/>
  </r>
  <r>
    <x v="5"/>
    <s v="Papierflieger"/>
    <m/>
    <m/>
    <m/>
    <m/>
    <m/>
    <m/>
    <n v="6.5"/>
    <m/>
    <m/>
  </r>
  <r>
    <x v="7"/>
    <s v="Papierflieger"/>
    <m/>
    <m/>
    <m/>
    <m/>
    <m/>
    <m/>
    <n v="14.4"/>
    <m/>
    <m/>
  </r>
  <r>
    <x v="20"/>
    <s v="Papierflieger"/>
    <m/>
    <m/>
    <m/>
    <m/>
    <m/>
    <m/>
    <m/>
    <m/>
    <n v="15.5"/>
  </r>
  <r>
    <x v="8"/>
    <s v="Papierflieger"/>
    <m/>
    <m/>
    <m/>
    <m/>
    <m/>
    <m/>
    <n v="12"/>
    <m/>
    <m/>
  </r>
  <r>
    <x v="21"/>
    <s v="Papierflieger"/>
    <m/>
    <m/>
    <m/>
    <m/>
    <m/>
    <m/>
    <n v="16.5"/>
    <m/>
    <m/>
  </r>
  <r>
    <x v="29"/>
    <s v="Papierflieger"/>
    <m/>
    <m/>
    <m/>
    <m/>
    <m/>
    <m/>
    <n v="14.7"/>
    <m/>
    <m/>
  </r>
  <r>
    <x v="17"/>
    <s v="Papierflieger"/>
    <m/>
    <m/>
    <m/>
    <m/>
    <m/>
    <m/>
    <n v="14.4"/>
    <m/>
    <m/>
  </r>
  <r>
    <x v="22"/>
    <s v="Papierflieger"/>
    <m/>
    <m/>
    <m/>
    <m/>
    <m/>
    <m/>
    <n v="17.899999999999999"/>
    <m/>
    <m/>
  </r>
  <r>
    <x v="18"/>
    <s v="Papierflieger"/>
    <m/>
    <m/>
    <m/>
    <m/>
    <m/>
    <m/>
    <n v="10.8"/>
    <m/>
    <m/>
  </r>
  <r>
    <x v="13"/>
    <s v="Papierflieger"/>
    <m/>
    <m/>
    <m/>
    <m/>
    <m/>
    <m/>
    <n v="9.5"/>
    <m/>
    <m/>
  </r>
  <r>
    <x v="23"/>
    <s v="Papierflieger"/>
    <m/>
    <m/>
    <m/>
    <m/>
    <m/>
    <m/>
    <n v="14.5"/>
    <m/>
    <m/>
  </r>
  <r>
    <x v="14"/>
    <s v="Tennisball-Zielwurf"/>
    <m/>
    <m/>
    <m/>
    <m/>
    <m/>
    <m/>
    <m/>
    <m/>
    <n v="4"/>
  </r>
  <r>
    <x v="6"/>
    <s v="Tennisball-Zielwurf"/>
    <m/>
    <m/>
    <m/>
    <m/>
    <m/>
    <m/>
    <m/>
    <m/>
    <n v="3"/>
  </r>
  <r>
    <x v="25"/>
    <s v="Tennisball-Zielwurf"/>
    <m/>
    <m/>
    <m/>
    <m/>
    <m/>
    <m/>
    <m/>
    <m/>
    <n v="1"/>
  </r>
  <r>
    <x v="11"/>
    <s v="Tennisball-Zielwurf"/>
    <m/>
    <m/>
    <m/>
    <m/>
    <m/>
    <m/>
    <m/>
    <m/>
    <n v="3"/>
  </r>
  <r>
    <x v="12"/>
    <s v="Tennisball-Zielwurf"/>
    <m/>
    <m/>
    <m/>
    <m/>
    <m/>
    <m/>
    <m/>
    <m/>
    <n v="2"/>
  </r>
  <r>
    <x v="26"/>
    <s v="Tennisball-Zielwurf"/>
    <m/>
    <m/>
    <m/>
    <m/>
    <m/>
    <m/>
    <m/>
    <m/>
    <n v="0"/>
  </r>
  <r>
    <x v="2"/>
    <s v="Tennisball-Zielwurf"/>
    <m/>
    <m/>
    <m/>
    <m/>
    <m/>
    <m/>
    <m/>
    <m/>
    <n v="1"/>
  </r>
  <r>
    <x v="24"/>
    <s v="Tennisball-Zielwurf"/>
    <m/>
    <m/>
    <m/>
    <m/>
    <m/>
    <m/>
    <m/>
    <m/>
    <n v="1"/>
  </r>
  <r>
    <x v="3"/>
    <s v="Tennisball-Zielwurf"/>
    <m/>
    <m/>
    <m/>
    <m/>
    <m/>
    <m/>
    <m/>
    <m/>
    <n v="2"/>
  </r>
  <r>
    <x v="31"/>
    <s v="Tennisball-Zielwurf"/>
    <m/>
    <m/>
    <m/>
    <m/>
    <m/>
    <m/>
    <m/>
    <m/>
    <n v="0"/>
  </r>
  <r>
    <x v="9"/>
    <s v="Tennisball-Zielwurf"/>
    <m/>
    <m/>
    <m/>
    <m/>
    <m/>
    <m/>
    <m/>
    <m/>
    <n v="0"/>
  </r>
  <r>
    <x v="0"/>
    <s v="Tennisball-Zielwurf"/>
    <m/>
    <m/>
    <m/>
    <m/>
    <m/>
    <m/>
    <m/>
    <m/>
    <n v="2"/>
  </r>
  <r>
    <x v="27"/>
    <s v="Tennisball-Zielwurf"/>
    <m/>
    <m/>
    <m/>
    <m/>
    <m/>
    <m/>
    <m/>
    <m/>
    <n v="1"/>
  </r>
  <r>
    <x v="10"/>
    <s v="Tennisball-Zielwurf"/>
    <m/>
    <m/>
    <m/>
    <m/>
    <m/>
    <m/>
    <m/>
    <m/>
    <n v="1"/>
  </r>
  <r>
    <x v="30"/>
    <s v="Tennisball-Zielwurf"/>
    <m/>
    <m/>
    <m/>
    <m/>
    <m/>
    <m/>
    <m/>
    <m/>
    <n v="0"/>
  </r>
  <r>
    <x v="15"/>
    <s v="Tennisball-Zielwurf"/>
    <m/>
    <m/>
    <m/>
    <m/>
    <m/>
    <m/>
    <m/>
    <m/>
    <n v="0"/>
  </r>
  <r>
    <x v="15"/>
    <s v="Tennisball-Zielwurf"/>
    <m/>
    <m/>
    <m/>
    <m/>
    <m/>
    <m/>
    <m/>
    <m/>
    <n v="3"/>
  </r>
  <r>
    <x v="15"/>
    <s v="Tennisball-Zielwurf"/>
    <m/>
    <m/>
    <m/>
    <m/>
    <m/>
    <m/>
    <m/>
    <m/>
    <n v="0"/>
  </r>
  <r>
    <x v="1"/>
    <s v="Tennisball-Zielwurf"/>
    <m/>
    <m/>
    <m/>
    <m/>
    <m/>
    <m/>
    <m/>
    <m/>
    <n v="3"/>
  </r>
  <r>
    <x v="4"/>
    <s v="Tennisball-Zielwurf"/>
    <m/>
    <m/>
    <m/>
    <m/>
    <m/>
    <m/>
    <m/>
    <m/>
    <n v="1"/>
  </r>
  <r>
    <x v="16"/>
    <s v="Tennisball-Zielwurf"/>
    <m/>
    <m/>
    <m/>
    <m/>
    <m/>
    <m/>
    <m/>
    <m/>
    <n v="1"/>
  </r>
  <r>
    <x v="16"/>
    <s v="Tennisball-Zielwurf"/>
    <m/>
    <m/>
    <m/>
    <m/>
    <m/>
    <m/>
    <m/>
    <m/>
    <n v="0"/>
  </r>
  <r>
    <x v="5"/>
    <s v="Tennisball-Zielwurf"/>
    <m/>
    <m/>
    <m/>
    <m/>
    <m/>
    <m/>
    <m/>
    <m/>
    <n v="2"/>
  </r>
  <r>
    <x v="7"/>
    <s v="Tennisball-Zielwurf"/>
    <m/>
    <m/>
    <m/>
    <m/>
    <m/>
    <m/>
    <m/>
    <m/>
    <n v="0"/>
  </r>
  <r>
    <x v="20"/>
    <s v="Tennisball-Zielwurf"/>
    <m/>
    <m/>
    <m/>
    <m/>
    <m/>
    <m/>
    <m/>
    <m/>
    <n v="3"/>
  </r>
  <r>
    <x v="8"/>
    <s v="Tennisball-Zielwurf"/>
    <m/>
    <m/>
    <m/>
    <m/>
    <m/>
    <m/>
    <m/>
    <m/>
    <n v="2"/>
  </r>
  <r>
    <x v="21"/>
    <s v="Tennisball-Zielwurf"/>
    <m/>
    <m/>
    <m/>
    <m/>
    <m/>
    <m/>
    <m/>
    <m/>
    <n v="1"/>
  </r>
  <r>
    <x v="29"/>
    <s v="Tennisball-Zielwurf"/>
    <m/>
    <m/>
    <m/>
    <m/>
    <m/>
    <m/>
    <m/>
    <m/>
    <n v="1"/>
  </r>
  <r>
    <x v="17"/>
    <s v="Tennisball-Zielwurf"/>
    <m/>
    <m/>
    <m/>
    <m/>
    <m/>
    <m/>
    <m/>
    <m/>
    <n v="2"/>
  </r>
  <r>
    <x v="22"/>
    <s v="Tennisball-Zielwurf"/>
    <m/>
    <m/>
    <m/>
    <m/>
    <m/>
    <m/>
    <m/>
    <m/>
    <n v="1"/>
  </r>
  <r>
    <x v="18"/>
    <s v="Tennisball-Zielwurf"/>
    <m/>
    <m/>
    <m/>
    <m/>
    <m/>
    <m/>
    <m/>
    <m/>
    <n v="0"/>
  </r>
  <r>
    <x v="14"/>
    <s v="Tic-Tac-Toe"/>
    <m/>
    <m/>
    <m/>
    <m/>
    <n v="18"/>
    <m/>
    <m/>
    <m/>
    <m/>
  </r>
  <r>
    <x v="6"/>
    <s v="Tic-Tac-Toe"/>
    <m/>
    <m/>
    <m/>
    <m/>
    <n v="12"/>
    <m/>
    <m/>
    <m/>
    <m/>
  </r>
  <r>
    <x v="25"/>
    <s v="Tic-Tac-Toe"/>
    <m/>
    <m/>
    <m/>
    <m/>
    <n v="13"/>
    <m/>
    <m/>
    <m/>
    <m/>
  </r>
  <r>
    <x v="11"/>
    <s v="Tic-Tac-Toe"/>
    <m/>
    <m/>
    <m/>
    <m/>
    <n v="12"/>
    <m/>
    <m/>
    <m/>
    <m/>
  </r>
  <r>
    <x v="12"/>
    <s v="Tic-Tac-Toe"/>
    <m/>
    <m/>
    <m/>
    <m/>
    <n v="10"/>
    <m/>
    <m/>
    <m/>
    <m/>
  </r>
  <r>
    <x v="26"/>
    <s v="Tic-Tac-Toe"/>
    <m/>
    <m/>
    <m/>
    <m/>
    <n v="19"/>
    <m/>
    <m/>
    <m/>
    <m/>
  </r>
  <r>
    <x v="2"/>
    <s v="Tic-Tac-Toe"/>
    <m/>
    <m/>
    <m/>
    <m/>
    <n v="15"/>
    <m/>
    <m/>
    <m/>
    <m/>
  </r>
  <r>
    <x v="24"/>
    <s v="Tic-Tac-Toe"/>
    <m/>
    <m/>
    <m/>
    <m/>
    <n v="14"/>
    <m/>
    <m/>
    <m/>
    <m/>
  </r>
  <r>
    <x v="3"/>
    <s v="Tic-Tac-Toe"/>
    <m/>
    <m/>
    <m/>
    <m/>
    <n v="13"/>
    <m/>
    <m/>
    <m/>
    <m/>
  </r>
  <r>
    <x v="31"/>
    <s v="Tic-Tac-Toe"/>
    <m/>
    <m/>
    <m/>
    <m/>
    <n v="16"/>
    <m/>
    <m/>
    <m/>
    <m/>
  </r>
  <r>
    <x v="9"/>
    <s v="Tic-Tac-Toe"/>
    <m/>
    <m/>
    <m/>
    <m/>
    <n v="12"/>
    <m/>
    <m/>
    <m/>
    <m/>
  </r>
  <r>
    <x v="0"/>
    <s v="Tic-Tac-Toe"/>
    <m/>
    <m/>
    <m/>
    <m/>
    <n v="12"/>
    <m/>
    <m/>
    <m/>
    <m/>
  </r>
  <r>
    <x v="27"/>
    <s v="Tic-Tac-Toe"/>
    <m/>
    <m/>
    <m/>
    <m/>
    <n v="16"/>
    <m/>
    <m/>
    <m/>
    <m/>
  </r>
  <r>
    <x v="10"/>
    <s v="Tic-Tac-Toe"/>
    <m/>
    <m/>
    <m/>
    <m/>
    <n v="11"/>
    <m/>
    <m/>
    <m/>
    <m/>
  </r>
  <r>
    <x v="30"/>
    <s v="Tic-Tac-Toe"/>
    <m/>
    <m/>
    <m/>
    <m/>
    <n v="19"/>
    <m/>
    <m/>
    <m/>
    <m/>
  </r>
  <r>
    <x v="15"/>
    <s v="Tic-Tac-Toe"/>
    <m/>
    <m/>
    <m/>
    <m/>
    <n v="11"/>
    <m/>
    <m/>
    <m/>
    <m/>
  </r>
  <r>
    <x v="1"/>
    <s v="Tic-Tac-Toe"/>
    <m/>
    <m/>
    <m/>
    <m/>
    <n v="14"/>
    <m/>
    <m/>
    <m/>
    <m/>
  </r>
  <r>
    <x v="4"/>
    <s v="Tic-Tac-Toe"/>
    <m/>
    <m/>
    <m/>
    <m/>
    <n v="14"/>
    <m/>
    <m/>
    <m/>
    <m/>
  </r>
  <r>
    <x v="16"/>
    <s v="Tic-Tac-Toe"/>
    <m/>
    <m/>
    <m/>
    <m/>
    <n v="10"/>
    <m/>
    <m/>
    <m/>
    <m/>
  </r>
  <r>
    <x v="19"/>
    <s v="Tic-Tac-Toe"/>
    <m/>
    <m/>
    <m/>
    <m/>
    <n v="14"/>
    <m/>
    <m/>
    <m/>
    <m/>
  </r>
  <r>
    <x v="28"/>
    <s v="Tic-Tac-Toe"/>
    <m/>
    <m/>
    <m/>
    <m/>
    <n v="17"/>
    <m/>
    <m/>
    <m/>
    <m/>
  </r>
  <r>
    <x v="5"/>
    <s v="Tic-Tac-Toe"/>
    <m/>
    <m/>
    <m/>
    <m/>
    <n v="12"/>
    <m/>
    <m/>
    <m/>
    <m/>
  </r>
  <r>
    <x v="7"/>
    <s v="Tic-Tac-Toe"/>
    <m/>
    <m/>
    <m/>
    <m/>
    <n v="15"/>
    <m/>
    <m/>
    <m/>
    <m/>
  </r>
  <r>
    <x v="20"/>
    <s v="Tic-Tac-Toe"/>
    <m/>
    <m/>
    <m/>
    <m/>
    <n v="11"/>
    <m/>
    <m/>
    <m/>
    <m/>
  </r>
  <r>
    <x v="8"/>
    <s v="Tic-Tac-Toe"/>
    <m/>
    <m/>
    <m/>
    <m/>
    <n v="15"/>
    <m/>
    <m/>
    <m/>
    <m/>
  </r>
  <r>
    <x v="21"/>
    <s v="Tic-Tac-Toe"/>
    <m/>
    <m/>
    <m/>
    <m/>
    <n v="10"/>
    <m/>
    <m/>
    <m/>
    <m/>
  </r>
  <r>
    <x v="29"/>
    <s v="Tic-Tac-Toe"/>
    <m/>
    <m/>
    <m/>
    <m/>
    <n v="15"/>
    <m/>
    <m/>
    <m/>
    <m/>
  </r>
  <r>
    <x v="17"/>
    <s v="Tic-Tac-Toe"/>
    <m/>
    <m/>
    <m/>
    <m/>
    <n v="14"/>
    <m/>
    <m/>
    <m/>
    <m/>
  </r>
  <r>
    <x v="22"/>
    <s v="Tic-Tac-Toe"/>
    <m/>
    <m/>
    <m/>
    <m/>
    <n v="15"/>
    <m/>
    <m/>
    <m/>
    <m/>
  </r>
  <r>
    <x v="18"/>
    <s v="Tic-Tac-Toe"/>
    <m/>
    <m/>
    <m/>
    <m/>
    <n v="13"/>
    <m/>
    <m/>
    <m/>
    <m/>
  </r>
  <r>
    <x v="13"/>
    <s v="Tic-Tac-Toe"/>
    <m/>
    <m/>
    <m/>
    <m/>
    <n v="11"/>
    <m/>
    <m/>
    <m/>
    <m/>
  </r>
  <r>
    <x v="23"/>
    <s v="Tic-Tac-Toe"/>
    <m/>
    <m/>
    <m/>
    <m/>
    <n v="14"/>
    <m/>
    <m/>
    <m/>
    <m/>
  </r>
  <r>
    <x v="14"/>
    <s v="Wasser schöpfen"/>
    <m/>
    <m/>
    <m/>
    <m/>
    <m/>
    <m/>
    <m/>
    <n v="12"/>
    <m/>
  </r>
  <r>
    <x v="6"/>
    <s v="Wasser schöpfen"/>
    <m/>
    <m/>
    <m/>
    <m/>
    <m/>
    <m/>
    <m/>
    <n v="11"/>
    <m/>
  </r>
  <r>
    <x v="25"/>
    <s v="Wasser schöpfen"/>
    <m/>
    <m/>
    <m/>
    <m/>
    <m/>
    <m/>
    <m/>
    <n v="14"/>
    <m/>
  </r>
  <r>
    <x v="11"/>
    <s v="Wasser schöpfen"/>
    <m/>
    <m/>
    <m/>
    <m/>
    <m/>
    <m/>
    <m/>
    <n v="16"/>
    <m/>
  </r>
  <r>
    <x v="12"/>
    <s v="Wasser schöpfen"/>
    <m/>
    <m/>
    <m/>
    <m/>
    <m/>
    <m/>
    <m/>
    <n v="11"/>
    <m/>
  </r>
  <r>
    <x v="26"/>
    <s v="Wasser schöpfen"/>
    <m/>
    <m/>
    <m/>
    <m/>
    <m/>
    <m/>
    <m/>
    <n v="12"/>
    <m/>
  </r>
  <r>
    <x v="2"/>
    <s v="Wasser schöpfen"/>
    <m/>
    <m/>
    <m/>
    <m/>
    <m/>
    <m/>
    <m/>
    <n v="8"/>
    <m/>
  </r>
  <r>
    <x v="24"/>
    <s v="Wasser schöpfen"/>
    <m/>
    <m/>
    <m/>
    <m/>
    <m/>
    <m/>
    <m/>
    <n v="12"/>
    <m/>
  </r>
  <r>
    <x v="3"/>
    <s v="Wasser schöpfen"/>
    <m/>
    <m/>
    <m/>
    <m/>
    <m/>
    <m/>
    <m/>
    <n v="8"/>
    <m/>
  </r>
  <r>
    <x v="31"/>
    <s v="Wasser schöpfen"/>
    <m/>
    <m/>
    <m/>
    <m/>
    <m/>
    <m/>
    <m/>
    <n v="9"/>
    <m/>
  </r>
  <r>
    <x v="9"/>
    <s v="Wasser schöpfen"/>
    <m/>
    <m/>
    <m/>
    <m/>
    <m/>
    <m/>
    <m/>
    <n v="15"/>
    <m/>
  </r>
  <r>
    <x v="0"/>
    <s v="Wasser schöpfen"/>
    <m/>
    <m/>
    <m/>
    <m/>
    <m/>
    <m/>
    <m/>
    <n v="7"/>
    <m/>
  </r>
  <r>
    <x v="27"/>
    <s v="Wasser schöpfen"/>
    <m/>
    <m/>
    <m/>
    <m/>
    <m/>
    <m/>
    <m/>
    <n v="13"/>
    <m/>
  </r>
  <r>
    <x v="10"/>
    <s v="Wasser schöpfen"/>
    <m/>
    <m/>
    <m/>
    <m/>
    <m/>
    <m/>
    <m/>
    <n v="9"/>
    <m/>
  </r>
  <r>
    <x v="30"/>
    <s v="Wasser schöpfen"/>
    <m/>
    <m/>
    <m/>
    <m/>
    <m/>
    <m/>
    <m/>
    <n v="12"/>
    <m/>
  </r>
  <r>
    <x v="15"/>
    <s v="Wasser schöpfen"/>
    <m/>
    <m/>
    <m/>
    <m/>
    <m/>
    <m/>
    <m/>
    <n v="16"/>
    <m/>
  </r>
  <r>
    <x v="1"/>
    <s v="Wasser schöpfen"/>
    <m/>
    <m/>
    <m/>
    <m/>
    <m/>
    <m/>
    <m/>
    <n v="9"/>
    <m/>
  </r>
  <r>
    <x v="4"/>
    <s v="Wasser schöpfen"/>
    <m/>
    <m/>
    <m/>
    <m/>
    <m/>
    <m/>
    <m/>
    <n v="13"/>
    <m/>
  </r>
  <r>
    <x v="16"/>
    <s v="Wasser schöpfen"/>
    <m/>
    <m/>
    <m/>
    <m/>
    <m/>
    <m/>
    <m/>
    <n v="7"/>
    <m/>
  </r>
  <r>
    <x v="19"/>
    <s v="Wasser schöpfen"/>
    <m/>
    <m/>
    <m/>
    <m/>
    <m/>
    <m/>
    <m/>
    <n v="10"/>
    <m/>
  </r>
  <r>
    <x v="28"/>
    <s v="Wasser schöpfen"/>
    <m/>
    <m/>
    <m/>
    <m/>
    <m/>
    <m/>
    <m/>
    <n v="12"/>
    <m/>
  </r>
  <r>
    <x v="5"/>
    <s v="Wasser schöpfen"/>
    <m/>
    <m/>
    <m/>
    <m/>
    <m/>
    <m/>
    <m/>
    <n v="9"/>
    <m/>
  </r>
  <r>
    <x v="7"/>
    <s v="Wasser schöpfen"/>
    <m/>
    <m/>
    <m/>
    <m/>
    <m/>
    <m/>
    <m/>
    <n v="12"/>
    <m/>
  </r>
  <r>
    <x v="20"/>
    <s v="Wasser schöpfen"/>
    <m/>
    <m/>
    <m/>
    <m/>
    <m/>
    <m/>
    <m/>
    <n v="11"/>
    <m/>
  </r>
  <r>
    <x v="8"/>
    <s v="Wasser schöpfen"/>
    <m/>
    <m/>
    <m/>
    <m/>
    <m/>
    <m/>
    <m/>
    <n v="12"/>
    <m/>
  </r>
  <r>
    <x v="21"/>
    <s v="Wasser schöpfen"/>
    <m/>
    <m/>
    <m/>
    <m/>
    <m/>
    <m/>
    <m/>
    <n v="15"/>
    <m/>
  </r>
  <r>
    <x v="29"/>
    <s v="Wasser schöpfen"/>
    <m/>
    <m/>
    <m/>
    <m/>
    <m/>
    <m/>
    <m/>
    <n v="12"/>
    <m/>
  </r>
  <r>
    <x v="17"/>
    <s v="Wasser schöpfen"/>
    <m/>
    <m/>
    <m/>
    <m/>
    <m/>
    <m/>
    <m/>
    <n v="12"/>
    <m/>
  </r>
  <r>
    <x v="22"/>
    <s v="Wasser schöpfen"/>
    <m/>
    <m/>
    <m/>
    <m/>
    <m/>
    <m/>
    <m/>
    <n v="12"/>
    <m/>
  </r>
  <r>
    <x v="18"/>
    <s v="Wasser schöpfen"/>
    <m/>
    <m/>
    <m/>
    <m/>
    <m/>
    <m/>
    <m/>
    <n v="10"/>
    <m/>
  </r>
  <r>
    <x v="13"/>
    <s v="Wasser schöpfen"/>
    <m/>
    <m/>
    <m/>
    <m/>
    <m/>
    <m/>
    <m/>
    <n v="13"/>
    <m/>
  </r>
  <r>
    <x v="23"/>
    <s v="Wasser schöpfen"/>
    <m/>
    <m/>
    <m/>
    <m/>
    <m/>
    <m/>
    <m/>
    <n v="12"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33"/>
    <m/>
    <m/>
    <m/>
    <m/>
    <m/>
    <m/>
    <m/>
    <m/>
    <m/>
    <m/>
  </r>
  <r>
    <x v="15"/>
    <s v="Ball Stafette"/>
    <n v="6.375"/>
    <m/>
    <m/>
    <m/>
    <m/>
    <m/>
    <m/>
    <m/>
    <m/>
  </r>
  <r>
    <x v="30"/>
    <s v="Ball Stafette"/>
    <n v="6.3"/>
    <m/>
    <m/>
    <m/>
    <m/>
    <m/>
    <m/>
    <m/>
    <m/>
  </r>
  <r>
    <x v="12"/>
    <s v="Ball Stafette"/>
    <n v="6"/>
    <m/>
    <m/>
    <m/>
    <m/>
    <m/>
    <m/>
    <m/>
    <m/>
  </r>
  <r>
    <x v="26"/>
    <s v="Ball Stafette"/>
    <n v="6.1"/>
    <m/>
    <m/>
    <m/>
    <m/>
    <m/>
    <m/>
    <m/>
    <m/>
  </r>
  <r>
    <x v="18"/>
    <s v="Ball Stafette"/>
    <n v="5.9"/>
    <m/>
    <m/>
    <m/>
    <m/>
    <m/>
    <m/>
    <m/>
    <m/>
  </r>
  <r>
    <x v="18"/>
    <s v="Ball Stafette"/>
    <n v="6.6"/>
    <m/>
    <m/>
    <m/>
    <m/>
    <m/>
    <m/>
    <m/>
    <m/>
  </r>
  <r>
    <x v="25"/>
    <s v="Ball Stafette"/>
    <n v="6.3"/>
    <m/>
    <m/>
    <m/>
    <m/>
    <m/>
    <m/>
    <m/>
    <m/>
  </r>
  <r>
    <x v="11"/>
    <s v="Ball Stafette"/>
    <n v="5.3780000000000001"/>
    <m/>
    <m/>
    <m/>
    <m/>
    <m/>
    <m/>
    <m/>
    <m/>
  </r>
  <r>
    <x v="27"/>
    <s v="Ball Stafette"/>
    <n v="5.9"/>
    <m/>
    <m/>
    <m/>
    <m/>
    <m/>
    <m/>
    <m/>
    <m/>
  </r>
  <r>
    <x v="10"/>
    <s v="Ball Stafette"/>
    <n v="5.875"/>
    <m/>
    <m/>
    <m/>
    <m/>
    <m/>
    <m/>
    <m/>
    <m/>
  </r>
  <r>
    <x v="14"/>
    <s v="Ball Stafette"/>
    <n v="5.8"/>
    <m/>
    <m/>
    <m/>
    <m/>
    <m/>
    <m/>
    <m/>
    <m/>
  </r>
  <r>
    <x v="6"/>
    <s v="Ball Stafette"/>
    <n v="5.8570000000000002"/>
    <m/>
    <m/>
    <m/>
    <m/>
    <m/>
    <m/>
    <m/>
    <m/>
  </r>
  <r>
    <x v="31"/>
    <s v="Ball Stafette"/>
    <n v="6.5"/>
    <m/>
    <m/>
    <m/>
    <m/>
    <m/>
    <m/>
    <m/>
    <m/>
  </r>
  <r>
    <x v="3"/>
    <s v="Ball Stafette"/>
    <n v="5.7"/>
    <m/>
    <m/>
    <m/>
    <m/>
    <m/>
    <m/>
    <m/>
    <m/>
  </r>
  <r>
    <x v="5"/>
    <s v="Ball Stafette"/>
    <n v="6.1"/>
    <m/>
    <m/>
    <m/>
    <m/>
    <m/>
    <m/>
    <m/>
    <m/>
  </r>
  <r>
    <x v="28"/>
    <s v="Ball Stafette"/>
    <n v="6.25"/>
    <m/>
    <m/>
    <m/>
    <m/>
    <m/>
    <m/>
    <m/>
    <m/>
  </r>
  <r>
    <x v="29"/>
    <s v="Ball Stafette"/>
    <n v="6"/>
    <m/>
    <m/>
    <m/>
    <m/>
    <m/>
    <m/>
    <m/>
    <m/>
  </r>
  <r>
    <x v="17"/>
    <s v="Ball Stafette"/>
    <n v="5.875"/>
    <m/>
    <m/>
    <m/>
    <m/>
    <m/>
    <m/>
    <m/>
    <m/>
  </r>
  <r>
    <x v="23"/>
    <s v="Ball Stafette"/>
    <n v="5.7"/>
    <m/>
    <m/>
    <m/>
    <m/>
    <m/>
    <m/>
    <m/>
    <m/>
  </r>
  <r>
    <x v="13"/>
    <s v="Ball Stafette"/>
    <n v="5.75"/>
    <m/>
    <m/>
    <m/>
    <m/>
    <m/>
    <m/>
    <m/>
    <m/>
  </r>
  <r>
    <x v="8"/>
    <s v="Ball Stafette"/>
    <n v="6.6"/>
    <m/>
    <m/>
    <m/>
    <m/>
    <m/>
    <m/>
    <m/>
    <m/>
  </r>
  <r>
    <x v="21"/>
    <s v="Ball Stafette"/>
    <n v="6.375"/>
    <m/>
    <m/>
    <m/>
    <m/>
    <m/>
    <m/>
    <m/>
    <m/>
  </r>
  <r>
    <x v="20"/>
    <s v="Ball Stafette"/>
    <n v="5.7"/>
    <m/>
    <m/>
    <m/>
    <m/>
    <m/>
    <m/>
    <m/>
    <m/>
  </r>
  <r>
    <x v="7"/>
    <s v="Ball Stafette"/>
    <n v="6.125"/>
    <m/>
    <m/>
    <m/>
    <m/>
    <m/>
    <m/>
    <m/>
    <m/>
  </r>
  <r>
    <x v="2"/>
    <s v="Ball Stafette"/>
    <n v="6.2"/>
    <m/>
    <m/>
    <m/>
    <m/>
    <m/>
    <m/>
    <m/>
    <m/>
  </r>
  <r>
    <x v="1"/>
    <s v="Ball Stafette"/>
    <n v="5.8570000000000002"/>
    <m/>
    <m/>
    <m/>
    <m/>
    <m/>
    <m/>
    <m/>
    <m/>
  </r>
  <r>
    <x v="4"/>
    <s v="Ball Stafette"/>
    <n v="6.1"/>
    <m/>
    <m/>
    <m/>
    <m/>
    <m/>
    <m/>
    <m/>
    <m/>
  </r>
  <r>
    <x v="24"/>
    <s v="Ball Stafette"/>
    <n v="6.8330000000000002"/>
    <m/>
    <m/>
    <m/>
    <m/>
    <m/>
    <m/>
    <m/>
    <m/>
  </r>
  <r>
    <x v="16"/>
    <s v="Ball Stafette"/>
    <n v="6.5"/>
    <m/>
    <m/>
    <m/>
    <m/>
    <m/>
    <m/>
    <m/>
    <m/>
  </r>
  <r>
    <x v="19"/>
    <s v="Ball Stafette"/>
    <n v="5.25"/>
    <m/>
    <m/>
    <m/>
    <m/>
    <m/>
    <m/>
    <m/>
    <m/>
  </r>
  <r>
    <x v="0"/>
    <s v="Ball Stafette"/>
    <n v="5.6"/>
    <m/>
    <m/>
    <m/>
    <m/>
    <m/>
    <m/>
    <m/>
    <m/>
  </r>
  <r>
    <x v="9"/>
    <s v="Ball Stafette"/>
    <n v="6.6710000000000003"/>
    <m/>
    <m/>
    <m/>
    <m/>
    <m/>
    <m/>
    <m/>
    <m/>
  </r>
  <r>
    <x v="34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A6B3E-D97E-4DE3-A8DA-6FB95F705457}" name="PivotTable1" cacheId="4308" dataOnRows="1" dataPosition="0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compact="0" compactData="0" multipleFieldFilters="0">
  <location ref="A1:AJ11" firstHeaderRow="1" firstDataRow="2" firstDataCol="1"/>
  <pivotFields count="11">
    <pivotField axis="axisCol" compact="0" outline="0" showAll="0">
      <items count="36">
        <item x="14"/>
        <item x="6"/>
        <item x="25"/>
        <item x="34"/>
        <item x="31"/>
        <item x="11"/>
        <item x="9"/>
        <item x="17"/>
        <item x="0"/>
        <item x="26"/>
        <item x="3"/>
        <item x="30"/>
        <item x="2"/>
        <item x="18"/>
        <item x="10"/>
        <item x="27"/>
        <item x="33"/>
        <item x="29"/>
        <item x="19"/>
        <item x="16"/>
        <item x="23"/>
        <item x="22"/>
        <item x="7"/>
        <item x="28"/>
        <item x="20"/>
        <item x="5"/>
        <item x="24"/>
        <item x="12"/>
        <item x="13"/>
        <item x="15"/>
        <item x="1"/>
        <item x="4"/>
        <item x="21"/>
        <item x="8"/>
        <item x="32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-2"/>
  </rowFields>
  <row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rowItems>
  <colFields count="1">
    <field x="0"/>
  </colFields>
  <col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colItems>
  <dataFields count="9">
    <dataField name="Summe von Paarlauf" fld="3" baseField="0" baseItem="0">
      <extLst>
        <ext xmlns:x14="http://schemas.microsoft.com/office/spreadsheetml/2009/9/main" uri="{E15A36E0-9728-4e99-A89B-3F7291B0FE68}">
          <x14:dataField pivotShowAs="rankDescending"/>
        </ext>
      </extLst>
    </dataField>
    <dataField name="Summe von Bottle-Flip" fld="4" baseField="0" baseItem="0" numFmtId="1">
      <extLst>
        <ext xmlns:x14="http://schemas.microsoft.com/office/spreadsheetml/2009/9/main" uri="{E15A36E0-9728-4e99-A89B-3F7291B0FE68}">
          <x14:dataField pivotShowAs="rankAscending"/>
        </ext>
      </extLst>
    </dataField>
    <dataField name="Summe von Kaplaturm" fld="5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me von Tic-Tac-Toe" fld="6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me von Glocken-Frisbee" fld="7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me von Papierflieger" fld="8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me von Wasser schöpfen" fld="9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me von Ball Stafette" fld="2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  <dataField name="Summe von Tennisball-Zielwurf" fld="10" baseField="0" baseItem="0">
      <extLst>
        <ext xmlns:x14="http://schemas.microsoft.com/office/spreadsheetml/2009/9/main" uri="{E15A36E0-9728-4e99-A89B-3F7291B0FE68}">
          <x14:dataField pivotShowAs="rankA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S319" totalsRowShown="0">
  <autoFilter ref="A1:S319" xr:uid="{00000000-0009-0000-0100-000001000000}"/>
  <sortState xmlns:xlrd2="http://schemas.microsoft.com/office/spreadsheetml/2017/richdata2" ref="A2:S287">
    <sortCondition ref="J2:J287"/>
    <sortCondition ref="M2:M287"/>
  </sortState>
  <tableColumns count="19">
    <tableColumn id="1" xr3:uid="{00000000-0010-0000-0000-000001000000}" name="Id" dataDxfId="21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zeit" dataDxfId="20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Fertigstellungszeit" dataDxfId="19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Gruppenfarbe" dataDxfId="16">
      <extLst>
        <ext xmlns:xlmsforms="http://schemas.microsoft.com/office/spreadsheetml/2023/msForms" uri="{FCC71383-01E1-4257-9335-427F07BE8D7F}">
          <xlmsforms:question id="r34120a7c68b1499a80d820c69330e47e"/>
        </ext>
      </extLst>
    </tableColumn>
    <tableColumn id="7" xr3:uid="{00000000-0010-0000-0000-000007000000}" name="Gruppe Blau" dataDxfId="15">
      <extLst>
        <ext xmlns:xlmsforms="http://schemas.microsoft.com/office/spreadsheetml/2023/msForms" uri="{FCC71383-01E1-4257-9335-427F07BE8D7F}">
          <xlmsforms:question id="rbc352cecba7741debda6436d9b4a1835"/>
        </ext>
      </extLst>
    </tableColumn>
    <tableColumn id="8" xr3:uid="{00000000-0010-0000-0000-000008000000}" name="Gruppe Grün" dataDxfId="14">
      <extLst>
        <ext xmlns:xlmsforms="http://schemas.microsoft.com/office/spreadsheetml/2023/msForms" uri="{FCC71383-01E1-4257-9335-427F07BE8D7F}">
          <xlmsforms:question id="r20a32fc72d8e46df8d5f97751f603d7e"/>
        </ext>
      </extLst>
    </tableColumn>
    <tableColumn id="18" xr3:uid="{14243EEB-6029-4870-9C56-722444B1EB7A}" name="Gruppe" dataDxfId="13">
      <calculatedColumnFormula>OfficeForms.Table[[#This Row],[Gruppe Blau]]&amp;OfficeForms.Table[[#This Row],[Gruppe Grün]]</calculatedColumnFormula>
    </tableColumn>
    <tableColumn id="9" xr3:uid="{00000000-0010-0000-0000-000009000000}" name="Posten" dataDxfId="12">
      <extLst>
        <ext xmlns:xlmsforms="http://schemas.microsoft.com/office/spreadsheetml/2023/msForms" uri="{FCC71383-01E1-4257-9335-427F07BE8D7F}">
          <xlmsforms:question id="r9129c41185424d4ea4102aa54e5dda61"/>
        </ext>
      </extLst>
    </tableColumn>
    <tableColumn id="19" xr3:uid="{CF69B1E6-4DED-4226-806D-39FC0311B3A0}" name="Ball Stafette" dataDxfId="11">
      <extLst>
        <ext xmlns:xlmsforms="http://schemas.microsoft.com/office/spreadsheetml/2023/msForms" uri="{FCC71383-01E1-4257-9335-427F07BE8D7F}">
          <xlmsforms:question id="r2f311ec52b0042258d9500c5b2c9be9f"/>
        </ext>
      </extLst>
    </tableColumn>
    <tableColumn id="10" xr3:uid="{00000000-0010-0000-0000-00000A000000}" name="Paarlauf" dataDxfId="10">
      <extLst>
        <ext xmlns:xlmsforms="http://schemas.microsoft.com/office/spreadsheetml/2023/msForms" uri="{FCC71383-01E1-4257-9335-427F07BE8D7F}">
          <xlmsforms:question id="r4a60e7b6375e4bbfa014e723688514b1"/>
        </ext>
      </extLst>
    </tableColumn>
    <tableColumn id="11" xr3:uid="{00000000-0010-0000-0000-00000B000000}" name="Bottle-Flip" dataDxfId="9">
      <extLst>
        <ext xmlns:xlmsforms="http://schemas.microsoft.com/office/spreadsheetml/2023/msForms" uri="{FCC71383-01E1-4257-9335-427F07BE8D7F}">
          <xlmsforms:question id="rbd079e4e433d4d7e8ece760ae0cfbb89"/>
        </ext>
      </extLst>
    </tableColumn>
    <tableColumn id="12" xr3:uid="{00000000-0010-0000-0000-00000C000000}" name="Kaplaturm" dataDxfId="8">
      <extLst>
        <ext xmlns:xlmsforms="http://schemas.microsoft.com/office/spreadsheetml/2023/msForms" uri="{FCC71383-01E1-4257-9335-427F07BE8D7F}">
          <xlmsforms:question id="r701dce53c88e47e29395496494e821e8"/>
        </ext>
      </extLst>
    </tableColumn>
    <tableColumn id="13" xr3:uid="{00000000-0010-0000-0000-00000D000000}" name="Tic-Tac-Toe" dataDxfId="7">
      <extLst>
        <ext xmlns:xlmsforms="http://schemas.microsoft.com/office/spreadsheetml/2023/msForms" uri="{FCC71383-01E1-4257-9335-427F07BE8D7F}">
          <xlmsforms:question id="rb82d80f2f4704e25892ebaee8db63e42"/>
        </ext>
      </extLst>
    </tableColumn>
    <tableColumn id="14" xr3:uid="{00000000-0010-0000-0000-00000E000000}" name="Glocken-Frisbee" dataDxfId="6">
      <extLst>
        <ext xmlns:xlmsforms="http://schemas.microsoft.com/office/spreadsheetml/2023/msForms" uri="{FCC71383-01E1-4257-9335-427F07BE8D7F}">
          <xlmsforms:question id="r05b355b2a9814bd2bde10046107e1754"/>
        </ext>
      </extLst>
    </tableColumn>
    <tableColumn id="15" xr3:uid="{00000000-0010-0000-0000-00000F000000}" name="Papierflieger" dataDxfId="5">
      <extLst>
        <ext xmlns:xlmsforms="http://schemas.microsoft.com/office/spreadsheetml/2023/msForms" uri="{FCC71383-01E1-4257-9335-427F07BE8D7F}">
          <xlmsforms:question id="r67b9ccbc2bbb48ebb5a0e94062fb1003"/>
        </ext>
      </extLst>
    </tableColumn>
    <tableColumn id="16" xr3:uid="{00000000-0010-0000-0000-000010000000}" name="Wasser schöpfen" dataDxfId="4">
      <extLst>
        <ext xmlns:xlmsforms="http://schemas.microsoft.com/office/spreadsheetml/2023/msForms" uri="{FCC71383-01E1-4257-9335-427F07BE8D7F}">
          <xlmsforms:question id="r9d773ad2bd0e43c19b0621ee2fdec6a3"/>
        </ext>
      </extLst>
    </tableColumn>
    <tableColumn id="17" xr3:uid="{00000000-0010-0000-0000-000011000000}" name="Tennisball-Zielwurf" dataDxfId="3">
      <extLst>
        <ext xmlns:xlmsforms="http://schemas.microsoft.com/office/spreadsheetml/2023/msForms" uri="{FCC71383-01E1-4257-9335-427F07BE8D7F}">
          <xlmsforms:question id="r6ceb9a40f9604fc3b903833493ebe9d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3ewMBocu6kGaFWdLP-OGryNk2oyO-exNgGX7QDOZyZFUMEI2R1lRMU81SUNXVzJTVDg1OTNNQTlSOS4u" isFormConnected="1" maxResponseId="319" latestEventMarker="32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r34120a7c68b1499a80d820c69330e47e</xlmsforms:syncedQuestionId>
        <xlmsforms:syncedQuestionId>rbc352cecba7741debda6436d9b4a1835</xlmsforms:syncedQuestionId>
        <xlmsforms:syncedQuestionId>r20a32fc72d8e46df8d5f97751f603d7e</xlmsforms:syncedQuestionId>
        <xlmsforms:syncedQuestionId>r9129c41185424d4ea4102aa54e5dda61</xlmsforms:syncedQuestionId>
        <xlmsforms:syncedQuestionId>r4a60e7b6375e4bbfa014e723688514b1</xlmsforms:syncedQuestionId>
        <xlmsforms:syncedQuestionId>rbd079e4e433d4d7e8ece760ae0cfbb89</xlmsforms:syncedQuestionId>
        <xlmsforms:syncedQuestionId>r701dce53c88e47e29395496494e821e8</xlmsforms:syncedQuestionId>
        <xlmsforms:syncedQuestionId>rb82d80f2f4704e25892ebaee8db63e42</xlmsforms:syncedQuestionId>
        <xlmsforms:syncedQuestionId>r05b355b2a9814bd2bde10046107e1754</xlmsforms:syncedQuestionId>
        <xlmsforms:syncedQuestionId>r67b9ccbc2bbb48ebb5a0e94062fb1003</xlmsforms:syncedQuestionId>
        <xlmsforms:syncedQuestionId>r9d773ad2bd0e43c19b0621ee2fdec6a3</xlmsforms:syncedQuestionId>
        <xlmsforms:syncedQuestionId>r6ceb9a40f9604fc3b903833493ebe9de</xlmsforms:syncedQuestionId>
        <xlmsforms:syncedQuestionId>r2f311ec52b0042258d9500c5b2c9be9f</xlmsforms:syncedQuestionId>
      </xlmsforms:msForm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0972F6-EDE9-4CFB-8801-FC588B12EA9E}" name="Tabelle2" displayName="Tabelle2" ref="B1:C33" totalsRowShown="0">
  <autoFilter ref="B1:C33" xr:uid="{C50972F6-EDE9-4CFB-8801-FC588B12EA9E}"/>
  <sortState xmlns:xlrd2="http://schemas.microsoft.com/office/spreadsheetml/2017/richdata2" ref="B2:C33">
    <sortCondition descending="1" ref="C1:C33"/>
  </sortState>
  <tableColumns count="2">
    <tableColumn id="1" xr3:uid="{50494FE2-11BE-4915-834D-B4A4681A3CCA}" name="Gruppe"/>
    <tableColumn id="2" xr3:uid="{22044A26-84A9-4CAB-AA8C-2445DE3A8475}" name="Punk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9"/>
  <sheetViews>
    <sheetView topLeftCell="F306" workbookViewId="0">
      <selection activeCell="K288" sqref="K288:K318"/>
    </sheetView>
  </sheetViews>
  <sheetFormatPr defaultColWidth="8.7109375" defaultRowHeight="14.45"/>
  <cols>
    <col min="1" max="8" width="20" bestFit="1" customWidth="1"/>
    <col min="9" max="9" width="26.140625" customWidth="1"/>
    <col min="10" max="10" width="20" bestFit="1" customWidth="1"/>
    <col min="11" max="11" width="19" customWidth="1"/>
    <col min="12" max="18" width="20" bestFit="1" customWidth="1"/>
    <col min="19" max="19" width="20.855468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259</v>
      </c>
      <c r="B2" s="1">
        <v>45468.479386574101</v>
      </c>
      <c r="C2" s="1">
        <v>45468.486168981501</v>
      </c>
      <c r="D2" s="2" t="s">
        <v>19</v>
      </c>
      <c r="E2" s="2"/>
      <c r="F2" s="2" t="s">
        <v>20</v>
      </c>
      <c r="G2" s="2" t="s">
        <v>21</v>
      </c>
      <c r="H2" s="2"/>
      <c r="I2" t="str">
        <f>OfficeForms.Table[[#This Row],[Gruppe Blau]]&amp;OfficeForms.Table[[#This Row],[Gruppe Grün]]</f>
        <v>Giraffe blau</v>
      </c>
      <c r="J2" s="2" t="s">
        <v>12</v>
      </c>
      <c r="M2">
        <v>1</v>
      </c>
      <c r="O2" s="2"/>
      <c r="P2" s="4"/>
      <c r="Q2" s="2"/>
      <c r="R2" s="2"/>
      <c r="S2" s="4"/>
    </row>
    <row r="3" spans="1:19">
      <c r="A3">
        <v>195</v>
      </c>
      <c r="B3" s="1">
        <v>45468.442025463002</v>
      </c>
      <c r="C3" s="1">
        <v>45468.449699074103</v>
      </c>
      <c r="D3" s="2" t="s">
        <v>19</v>
      </c>
      <c r="E3" s="2"/>
      <c r="F3" s="2" t="s">
        <v>22</v>
      </c>
      <c r="G3" s="2"/>
      <c r="H3" s="2" t="s">
        <v>23</v>
      </c>
      <c r="I3" t="str">
        <f>OfficeForms.Table[[#This Row],[Gruppe Blau]]&amp;OfficeForms.Table[[#This Row],[Gruppe Grün]]</f>
        <v>Krebs grün</v>
      </c>
      <c r="J3" s="2" t="s">
        <v>12</v>
      </c>
      <c r="M3">
        <v>3</v>
      </c>
      <c r="O3" s="2"/>
      <c r="P3" s="4"/>
      <c r="Q3" s="2"/>
      <c r="R3" s="2"/>
      <c r="S3" s="4"/>
    </row>
    <row r="4" spans="1:19">
      <c r="A4">
        <v>220</v>
      </c>
      <c r="B4" s="1">
        <v>45468.455578703702</v>
      </c>
      <c r="C4" s="1">
        <v>45468.467303240701</v>
      </c>
      <c r="D4" s="2" t="s">
        <v>19</v>
      </c>
      <c r="E4" s="2"/>
      <c r="F4" s="2" t="s">
        <v>22</v>
      </c>
      <c r="G4" s="2"/>
      <c r="H4" s="2" t="s">
        <v>24</v>
      </c>
      <c r="I4" t="str">
        <f>OfficeForms.Table[[#This Row],[Gruppe Blau]]&amp;OfficeForms.Table[[#This Row],[Gruppe Grün]]</f>
        <v>Eule grün</v>
      </c>
      <c r="J4" s="2" t="s">
        <v>12</v>
      </c>
      <c r="M4">
        <v>4</v>
      </c>
      <c r="O4" s="2"/>
      <c r="P4" s="4"/>
      <c r="Q4" s="2"/>
      <c r="R4" s="2"/>
      <c r="S4" s="4"/>
    </row>
    <row r="5" spans="1:19">
      <c r="A5">
        <v>232</v>
      </c>
      <c r="B5" s="1">
        <v>45468.467337962997</v>
      </c>
      <c r="C5" s="1">
        <v>45468.472719907397</v>
      </c>
      <c r="D5" s="2" t="s">
        <v>19</v>
      </c>
      <c r="E5" s="2"/>
      <c r="F5" s="2" t="s">
        <v>22</v>
      </c>
      <c r="G5" s="2"/>
      <c r="H5" s="2" t="s">
        <v>25</v>
      </c>
      <c r="I5" t="str">
        <f>OfficeForms.Table[[#This Row],[Gruppe Blau]]&amp;OfficeForms.Table[[#This Row],[Gruppe Grün]]</f>
        <v>Fuchs grün</v>
      </c>
      <c r="J5" s="2" t="s">
        <v>12</v>
      </c>
      <c r="M5">
        <v>4</v>
      </c>
      <c r="O5" s="2"/>
      <c r="P5" s="4"/>
      <c r="Q5" s="2"/>
      <c r="R5" s="2"/>
      <c r="S5" s="4"/>
    </row>
    <row r="6" spans="1:19">
      <c r="A6">
        <v>194</v>
      </c>
      <c r="B6" s="1">
        <v>45468.442094907397</v>
      </c>
      <c r="C6" s="1">
        <v>45468.449583333299</v>
      </c>
      <c r="D6" s="2" t="s">
        <v>19</v>
      </c>
      <c r="E6" s="2"/>
      <c r="F6" s="2" t="s">
        <v>20</v>
      </c>
      <c r="G6" s="2" t="s">
        <v>26</v>
      </c>
      <c r="H6" s="2"/>
      <c r="I6" t="str">
        <f>OfficeForms.Table[[#This Row],[Gruppe Blau]]&amp;OfficeForms.Table[[#This Row],[Gruppe Grün]]</f>
        <v>Krebs blau</v>
      </c>
      <c r="J6" s="2" t="s">
        <v>12</v>
      </c>
      <c r="M6">
        <v>4</v>
      </c>
      <c r="O6" s="2"/>
      <c r="P6" s="4"/>
      <c r="Q6" s="2"/>
      <c r="R6" s="2"/>
      <c r="S6" s="4"/>
    </row>
    <row r="7" spans="1:19">
      <c r="A7">
        <v>121</v>
      </c>
      <c r="B7" s="1">
        <v>45468.397835648197</v>
      </c>
      <c r="C7" s="1">
        <v>45468.404687499999</v>
      </c>
      <c r="D7" s="2" t="s">
        <v>19</v>
      </c>
      <c r="E7" s="2"/>
      <c r="F7" s="2" t="s">
        <v>20</v>
      </c>
      <c r="G7" s="2" t="s">
        <v>27</v>
      </c>
      <c r="H7" s="2"/>
      <c r="I7" t="str">
        <f>OfficeForms.Table[[#This Row],[Gruppe Blau]]&amp;OfficeForms.Table[[#This Row],[Gruppe Grün]]</f>
        <v>Panda blau</v>
      </c>
      <c r="J7" s="2" t="s">
        <v>12</v>
      </c>
      <c r="M7">
        <v>4</v>
      </c>
      <c r="O7" s="2"/>
      <c r="P7" s="4"/>
      <c r="Q7" s="2"/>
      <c r="R7" s="2"/>
      <c r="S7" s="4"/>
    </row>
    <row r="8" spans="1:19">
      <c r="A8">
        <v>181</v>
      </c>
      <c r="B8" s="1">
        <v>45468.436493055597</v>
      </c>
      <c r="C8" s="1">
        <v>45468.442002314798</v>
      </c>
      <c r="D8" s="2" t="s">
        <v>19</v>
      </c>
      <c r="E8" s="2"/>
      <c r="F8" s="2" t="s">
        <v>22</v>
      </c>
      <c r="G8" s="2"/>
      <c r="H8" s="2" t="s">
        <v>28</v>
      </c>
      <c r="I8" t="str">
        <f>OfficeForms.Table[[#This Row],[Gruppe Blau]]&amp;OfficeForms.Table[[#This Row],[Gruppe Grün]]</f>
        <v>Affe grün</v>
      </c>
      <c r="J8" s="2" t="s">
        <v>12</v>
      </c>
      <c r="M8">
        <v>5</v>
      </c>
      <c r="O8" s="2"/>
      <c r="P8" s="4"/>
      <c r="Q8" s="2"/>
      <c r="R8" s="2"/>
      <c r="S8" s="4"/>
    </row>
    <row r="9" spans="1:19">
      <c r="A9">
        <v>166</v>
      </c>
      <c r="B9" s="1">
        <v>45468.411423611098</v>
      </c>
      <c r="C9" s="1">
        <v>45468.436458333301</v>
      </c>
      <c r="D9" s="2" t="s">
        <v>19</v>
      </c>
      <c r="E9" s="2"/>
      <c r="F9" s="2" t="s">
        <v>22</v>
      </c>
      <c r="G9" s="2"/>
      <c r="H9" s="2" t="s">
        <v>29</v>
      </c>
      <c r="I9" t="str">
        <f>OfficeForms.Table[[#This Row],[Gruppe Blau]]&amp;OfficeForms.Table[[#This Row],[Gruppe Grün]]</f>
        <v>Schaf grün</v>
      </c>
      <c r="J9" s="2" t="s">
        <v>12</v>
      </c>
      <c r="M9">
        <v>5</v>
      </c>
      <c r="O9" s="2"/>
      <c r="P9" s="4"/>
      <c r="Q9" s="2"/>
      <c r="R9" s="2"/>
      <c r="S9" s="4"/>
    </row>
    <row r="10" spans="1:19">
      <c r="A10">
        <v>207</v>
      </c>
      <c r="B10" s="1">
        <v>45468.449722222198</v>
      </c>
      <c r="C10" s="1">
        <v>45468.455543981501</v>
      </c>
      <c r="D10" s="2" t="s">
        <v>19</v>
      </c>
      <c r="E10" s="2"/>
      <c r="F10" s="2" t="s">
        <v>22</v>
      </c>
      <c r="G10" s="2"/>
      <c r="H10" s="2" t="s">
        <v>30</v>
      </c>
      <c r="I10" t="str">
        <f>OfficeForms.Table[[#This Row],[Gruppe Blau]]&amp;OfficeForms.Table[[#This Row],[Gruppe Grün]]</f>
        <v>Schildkröte grün</v>
      </c>
      <c r="J10" s="2" t="s">
        <v>12</v>
      </c>
      <c r="M10">
        <v>5</v>
      </c>
      <c r="O10" s="2"/>
      <c r="P10" s="4"/>
      <c r="Q10" s="2"/>
      <c r="R10" s="2"/>
      <c r="S10" s="4"/>
    </row>
    <row r="11" spans="1:19">
      <c r="A11">
        <v>36</v>
      </c>
      <c r="B11" s="1">
        <v>45468.340081018498</v>
      </c>
      <c r="C11" s="1">
        <v>45468.359710648103</v>
      </c>
      <c r="D11" s="2" t="s">
        <v>19</v>
      </c>
      <c r="E11" s="2"/>
      <c r="F11" s="2" t="s">
        <v>22</v>
      </c>
      <c r="G11" s="2"/>
      <c r="H11" s="2" t="s">
        <v>31</v>
      </c>
      <c r="I11" t="str">
        <f>OfficeForms.Table[[#This Row],[Gruppe Blau]]&amp;OfficeForms.Table[[#This Row],[Gruppe Grün]]</f>
        <v>Giraffe grün</v>
      </c>
      <c r="J11" s="2" t="s">
        <v>12</v>
      </c>
      <c r="M11">
        <v>6</v>
      </c>
      <c r="O11" s="2"/>
      <c r="P11" s="4"/>
      <c r="Q11" s="2"/>
      <c r="R11" s="2"/>
      <c r="S11" s="4"/>
    </row>
    <row r="12" spans="1:19">
      <c r="A12">
        <v>245</v>
      </c>
      <c r="B12" s="1">
        <v>45468.474930555603</v>
      </c>
      <c r="C12" s="1">
        <v>45468.479363425897</v>
      </c>
      <c r="D12" s="2" t="s">
        <v>19</v>
      </c>
      <c r="E12" s="2"/>
      <c r="F12" s="2" t="s">
        <v>20</v>
      </c>
      <c r="G12" s="2" t="s">
        <v>32</v>
      </c>
      <c r="H12" s="2"/>
      <c r="I12" t="str">
        <f>OfficeForms.Table[[#This Row],[Gruppe Blau]]&amp;OfficeForms.Table[[#This Row],[Gruppe Grün]]</f>
        <v>Igel blau</v>
      </c>
      <c r="J12" s="2" t="s">
        <v>12</v>
      </c>
      <c r="M12">
        <v>6</v>
      </c>
      <c r="O12" s="2"/>
      <c r="P12" s="4"/>
      <c r="Q12" s="2"/>
      <c r="R12" s="2"/>
      <c r="S12" s="4"/>
    </row>
    <row r="13" spans="1:19">
      <c r="A13">
        <v>89</v>
      </c>
      <c r="B13" s="1">
        <v>45468.376990740697</v>
      </c>
      <c r="C13" s="1">
        <v>45468.382418981499</v>
      </c>
      <c r="D13" s="2" t="s">
        <v>19</v>
      </c>
      <c r="E13" s="2"/>
      <c r="F13" s="2" t="s">
        <v>22</v>
      </c>
      <c r="G13" s="2"/>
      <c r="H13" s="2" t="s">
        <v>33</v>
      </c>
      <c r="I13" t="str">
        <f>OfficeForms.Table[[#This Row],[Gruppe Blau]]&amp;OfficeForms.Table[[#This Row],[Gruppe Grün]]</f>
        <v>Delfin grün</v>
      </c>
      <c r="J13" s="2" t="s">
        <v>12</v>
      </c>
      <c r="M13">
        <v>7</v>
      </c>
      <c r="O13" s="2"/>
      <c r="P13" s="4"/>
      <c r="Q13" s="2"/>
      <c r="R13" s="2"/>
      <c r="S13" s="4"/>
    </row>
    <row r="14" spans="1:19">
      <c r="A14">
        <v>52</v>
      </c>
      <c r="B14" s="1">
        <v>45468.359861111101</v>
      </c>
      <c r="C14" s="1">
        <v>45468.365995370397</v>
      </c>
      <c r="D14" s="2" t="s">
        <v>19</v>
      </c>
      <c r="E14" s="2"/>
      <c r="F14" s="2" t="s">
        <v>22</v>
      </c>
      <c r="G14" s="2"/>
      <c r="H14" s="2" t="s">
        <v>34</v>
      </c>
      <c r="I14" t="str">
        <f>OfficeForms.Table[[#This Row],[Gruppe Blau]]&amp;OfficeForms.Table[[#This Row],[Gruppe Grün]]</f>
        <v>Elefant grün</v>
      </c>
      <c r="J14" s="2" t="s">
        <v>12</v>
      </c>
      <c r="M14">
        <v>7</v>
      </c>
      <c r="O14" s="2"/>
      <c r="P14" s="4"/>
      <c r="Q14" s="2"/>
      <c r="R14" s="2"/>
      <c r="S14" s="4"/>
    </row>
    <row r="15" spans="1:19">
      <c r="A15">
        <v>114</v>
      </c>
      <c r="B15" s="1">
        <v>45468.391689814802</v>
      </c>
      <c r="C15" s="1">
        <v>45468.397858796299</v>
      </c>
      <c r="D15" s="2" t="s">
        <v>19</v>
      </c>
      <c r="E15" s="2"/>
      <c r="F15" s="2" t="s">
        <v>22</v>
      </c>
      <c r="G15" s="2"/>
      <c r="H15" s="2" t="s">
        <v>35</v>
      </c>
      <c r="I15" t="str">
        <f>OfficeForms.Table[[#This Row],[Gruppe Blau]]&amp;OfficeForms.Table[[#This Row],[Gruppe Grün]]</f>
        <v>Tiger grün</v>
      </c>
      <c r="J15" s="2" t="s">
        <v>12</v>
      </c>
      <c r="M15">
        <v>7</v>
      </c>
      <c r="O15" s="2"/>
      <c r="P15" s="4"/>
      <c r="Q15" s="2"/>
      <c r="R15" s="2"/>
      <c r="S15" s="4"/>
    </row>
    <row r="16" spans="1:19">
      <c r="A16">
        <v>184</v>
      </c>
      <c r="B16" s="1">
        <v>45468.436388888898</v>
      </c>
      <c r="C16" s="1">
        <v>45468.442071759302</v>
      </c>
      <c r="D16" s="2" t="s">
        <v>19</v>
      </c>
      <c r="E16" s="2"/>
      <c r="F16" s="2" t="s">
        <v>20</v>
      </c>
      <c r="G16" s="2" t="s">
        <v>36</v>
      </c>
      <c r="H16" s="2"/>
      <c r="I16" t="str">
        <f>OfficeForms.Table[[#This Row],[Gruppe Blau]]&amp;OfficeForms.Table[[#This Row],[Gruppe Grün]]</f>
        <v>Affe blau</v>
      </c>
      <c r="J16" s="2" t="s">
        <v>12</v>
      </c>
      <c r="M16">
        <v>8</v>
      </c>
      <c r="O16" s="2"/>
      <c r="P16" s="4"/>
      <c r="Q16" s="2"/>
      <c r="R16" s="2"/>
      <c r="S16" s="4"/>
    </row>
    <row r="17" spans="1:19">
      <c r="A17">
        <v>69</v>
      </c>
      <c r="B17" s="1">
        <v>45468.371655092596</v>
      </c>
      <c r="C17" s="1">
        <v>45468.376851851797</v>
      </c>
      <c r="D17" s="2" t="s">
        <v>19</v>
      </c>
      <c r="E17" s="2"/>
      <c r="F17" s="2" t="s">
        <v>20</v>
      </c>
      <c r="G17" s="2" t="s">
        <v>37</v>
      </c>
      <c r="H17" s="2"/>
      <c r="I17" t="str">
        <f>OfficeForms.Table[[#This Row],[Gruppe Blau]]&amp;OfficeForms.Table[[#This Row],[Gruppe Grün]]</f>
        <v>Katze blau</v>
      </c>
      <c r="J17" s="2" t="s">
        <v>12</v>
      </c>
      <c r="M17">
        <v>8</v>
      </c>
      <c r="O17" s="2"/>
      <c r="P17" s="4"/>
      <c r="Q17" s="2"/>
      <c r="R17" s="2"/>
      <c r="S17" s="4"/>
    </row>
    <row r="18" spans="1:19">
      <c r="A18">
        <v>137</v>
      </c>
      <c r="B18" s="1">
        <v>45468.404999999999</v>
      </c>
      <c r="C18" s="1">
        <v>45468.411400463003</v>
      </c>
      <c r="D18" s="2" t="s">
        <v>19</v>
      </c>
      <c r="E18" s="2"/>
      <c r="F18" s="2" t="s">
        <v>22</v>
      </c>
      <c r="G18" s="2"/>
      <c r="H18" s="2" t="s">
        <v>38</v>
      </c>
      <c r="I18" t="str">
        <f>OfficeForms.Table[[#This Row],[Gruppe Blau]]&amp;OfficeForms.Table[[#This Row],[Gruppe Grün]]</f>
        <v>Nilpferd grün</v>
      </c>
      <c r="J18" s="2" t="s">
        <v>12</v>
      </c>
      <c r="M18">
        <v>8</v>
      </c>
      <c r="O18" s="2"/>
      <c r="P18" s="4"/>
      <c r="Q18" s="2"/>
      <c r="R18" s="2"/>
      <c r="S18" s="4"/>
    </row>
    <row r="19" spans="1:19">
      <c r="A19">
        <v>64</v>
      </c>
      <c r="B19" s="1">
        <v>45468.365636574097</v>
      </c>
      <c r="C19" s="1">
        <v>45468.371608796297</v>
      </c>
      <c r="D19" s="2" t="s">
        <v>19</v>
      </c>
      <c r="E19" s="2"/>
      <c r="F19" s="2" t="s">
        <v>20</v>
      </c>
      <c r="G19" s="2" t="s">
        <v>39</v>
      </c>
      <c r="H19" s="2"/>
      <c r="I19" t="str">
        <f>OfficeForms.Table[[#This Row],[Gruppe Blau]]&amp;OfficeForms.Table[[#This Row],[Gruppe Grün]]</f>
        <v>Schlange blau</v>
      </c>
      <c r="J19" s="2" t="s">
        <v>12</v>
      </c>
      <c r="M19">
        <v>8</v>
      </c>
      <c r="O19" s="2"/>
      <c r="P19" s="4"/>
      <c r="Q19" s="2"/>
      <c r="R19" s="2"/>
      <c r="S19" s="4"/>
    </row>
    <row r="20" spans="1:19">
      <c r="A20">
        <v>95</v>
      </c>
      <c r="B20" s="1">
        <v>45468.382384259297</v>
      </c>
      <c r="C20" s="1">
        <v>45468.3914814815</v>
      </c>
      <c r="D20" s="2" t="s">
        <v>19</v>
      </c>
      <c r="E20" s="2"/>
      <c r="F20" s="2" t="s">
        <v>20</v>
      </c>
      <c r="G20" s="2" t="s">
        <v>40</v>
      </c>
      <c r="H20" s="2"/>
      <c r="I20" t="str">
        <f>OfficeForms.Table[[#This Row],[Gruppe Blau]]&amp;OfficeForms.Table[[#This Row],[Gruppe Grün]]</f>
        <v>Schmetterling blau</v>
      </c>
      <c r="J20" s="2" t="s">
        <v>12</v>
      </c>
      <c r="M20">
        <v>8</v>
      </c>
      <c r="O20" s="2"/>
      <c r="P20" s="4"/>
      <c r="Q20" s="2"/>
      <c r="R20" s="2"/>
      <c r="S20" s="4"/>
    </row>
    <row r="21" spans="1:19">
      <c r="A21">
        <v>135</v>
      </c>
      <c r="B21" s="1">
        <v>45468.404710648101</v>
      </c>
      <c r="C21" s="1">
        <v>45468.411249999997</v>
      </c>
      <c r="D21" s="2" t="s">
        <v>19</v>
      </c>
      <c r="E21" s="2"/>
      <c r="F21" s="2" t="s">
        <v>20</v>
      </c>
      <c r="G21" s="2" t="s">
        <v>41</v>
      </c>
      <c r="H21" s="2"/>
      <c r="I21" t="str">
        <f>OfficeForms.Table[[#This Row],[Gruppe Blau]]&amp;OfficeForms.Table[[#This Row],[Gruppe Grün]]</f>
        <v>Nilpferd blau</v>
      </c>
      <c r="J21" s="2" t="s">
        <v>12</v>
      </c>
      <c r="M21">
        <v>9</v>
      </c>
      <c r="O21" s="2"/>
      <c r="P21" s="4"/>
      <c r="Q21" s="2"/>
      <c r="R21" s="2"/>
      <c r="S21" s="4"/>
    </row>
    <row r="22" spans="1:19">
      <c r="A22">
        <v>165</v>
      </c>
      <c r="B22" s="1">
        <v>45468.4112731481</v>
      </c>
      <c r="C22" s="1">
        <v>45468.436365740701</v>
      </c>
      <c r="D22" s="2" t="s">
        <v>19</v>
      </c>
      <c r="E22" s="2"/>
      <c r="F22" s="2" t="s">
        <v>20</v>
      </c>
      <c r="G22" s="2" t="s">
        <v>42</v>
      </c>
      <c r="H22" s="2"/>
      <c r="I22" t="str">
        <f>OfficeForms.Table[[#This Row],[Gruppe Blau]]&amp;OfficeForms.Table[[#This Row],[Gruppe Grün]]</f>
        <v>Schaf blau</v>
      </c>
      <c r="J22" s="2" t="s">
        <v>12</v>
      </c>
      <c r="M22">
        <v>9</v>
      </c>
      <c r="O22" s="2"/>
      <c r="P22" s="4"/>
      <c r="Q22" s="2"/>
      <c r="R22" s="2"/>
      <c r="S22" s="4"/>
    </row>
    <row r="23" spans="1:19">
      <c r="A23">
        <v>206</v>
      </c>
      <c r="B23" s="1">
        <v>45468.449606481503</v>
      </c>
      <c r="C23" s="1">
        <v>45468.455497685201</v>
      </c>
      <c r="D23" s="2" t="s">
        <v>19</v>
      </c>
      <c r="E23" s="2"/>
      <c r="F23" s="2" t="s">
        <v>20</v>
      </c>
      <c r="G23" s="2" t="s">
        <v>43</v>
      </c>
      <c r="H23" s="2"/>
      <c r="I23" t="str">
        <f>OfficeForms.Table[[#This Row],[Gruppe Blau]]&amp;OfficeForms.Table[[#This Row],[Gruppe Grün]]</f>
        <v>Schildkröte blau</v>
      </c>
      <c r="J23" s="2" t="s">
        <v>12</v>
      </c>
      <c r="M23">
        <v>9</v>
      </c>
      <c r="O23" s="2"/>
      <c r="P23" s="4"/>
      <c r="Q23" s="2"/>
      <c r="R23" s="2"/>
      <c r="S23" s="4"/>
    </row>
    <row r="24" spans="1:19">
      <c r="A24">
        <v>96</v>
      </c>
      <c r="B24" s="1">
        <v>45468.382488425901</v>
      </c>
      <c r="C24" s="1">
        <v>45468.391666666699</v>
      </c>
      <c r="D24" s="2" t="s">
        <v>19</v>
      </c>
      <c r="E24" s="2"/>
      <c r="F24" s="2" t="s">
        <v>22</v>
      </c>
      <c r="G24" s="2"/>
      <c r="H24" s="2" t="s">
        <v>44</v>
      </c>
      <c r="I24" t="str">
        <f>OfficeForms.Table[[#This Row],[Gruppe Blau]]&amp;OfficeForms.Table[[#This Row],[Gruppe Grün]]</f>
        <v>Schmetterling grün</v>
      </c>
      <c r="J24" s="2" t="s">
        <v>12</v>
      </c>
      <c r="M24">
        <v>9</v>
      </c>
      <c r="O24" s="2"/>
      <c r="P24" s="4"/>
      <c r="Q24" s="2"/>
      <c r="R24" s="2"/>
      <c r="S24" s="4"/>
    </row>
    <row r="25" spans="1:19">
      <c r="A25">
        <v>113</v>
      </c>
      <c r="B25" s="1">
        <v>45468.391493055598</v>
      </c>
      <c r="C25" s="1">
        <v>45468.397696759297</v>
      </c>
      <c r="D25" s="2" t="s">
        <v>19</v>
      </c>
      <c r="E25" s="2"/>
      <c r="F25" s="2" t="s">
        <v>20</v>
      </c>
      <c r="G25" s="2" t="s">
        <v>45</v>
      </c>
      <c r="H25" s="2"/>
      <c r="I25" t="str">
        <f>OfficeForms.Table[[#This Row],[Gruppe Blau]]&amp;OfficeForms.Table[[#This Row],[Gruppe Grün]]</f>
        <v>Tiger blau</v>
      </c>
      <c r="J25" s="2" t="s">
        <v>12</v>
      </c>
      <c r="M25">
        <v>9</v>
      </c>
      <c r="O25" s="2"/>
      <c r="P25" s="4"/>
      <c r="Q25" s="2"/>
      <c r="R25" s="2"/>
      <c r="S25" s="4"/>
    </row>
    <row r="26" spans="1:19">
      <c r="A26">
        <v>219</v>
      </c>
      <c r="B26" s="1">
        <v>45468.455648148098</v>
      </c>
      <c r="C26" s="1">
        <v>45468.466979166697</v>
      </c>
      <c r="D26" s="2" t="s">
        <v>19</v>
      </c>
      <c r="E26" s="2"/>
      <c r="F26" s="2" t="s">
        <v>20</v>
      </c>
      <c r="G26" s="2" t="s">
        <v>46</v>
      </c>
      <c r="H26" s="2"/>
      <c r="I26" t="str">
        <f>OfficeForms.Table[[#This Row],[Gruppe Blau]]&amp;OfficeForms.Table[[#This Row],[Gruppe Grün]]</f>
        <v>Eule blau</v>
      </c>
      <c r="J26" s="2" t="s">
        <v>12</v>
      </c>
      <c r="M26">
        <v>10</v>
      </c>
      <c r="O26" s="2"/>
      <c r="P26" s="4"/>
      <c r="Q26" s="2"/>
      <c r="R26" s="2"/>
      <c r="S26" s="4"/>
    </row>
    <row r="27" spans="1:19">
      <c r="A27">
        <v>88</v>
      </c>
      <c r="B27" s="1">
        <v>45468.3768865741</v>
      </c>
      <c r="C27" s="1">
        <v>45468.382349537002</v>
      </c>
      <c r="D27" s="2" t="s">
        <v>19</v>
      </c>
      <c r="E27" s="2"/>
      <c r="F27" s="2" t="s">
        <v>20</v>
      </c>
      <c r="G27" s="2" t="s">
        <v>47</v>
      </c>
      <c r="H27" s="2"/>
      <c r="I27" t="str">
        <f>OfficeForms.Table[[#This Row],[Gruppe Blau]]&amp;OfficeForms.Table[[#This Row],[Gruppe Grün]]</f>
        <v>Delfin blau</v>
      </c>
      <c r="J27" s="2" t="s">
        <v>12</v>
      </c>
      <c r="M27">
        <v>11</v>
      </c>
      <c r="O27" s="2"/>
      <c r="P27" s="4"/>
      <c r="Q27" s="2"/>
      <c r="R27" s="2"/>
      <c r="S27" s="4"/>
    </row>
    <row r="28" spans="1:19">
      <c r="A28">
        <v>50</v>
      </c>
      <c r="B28" s="1">
        <v>45468.3598726852</v>
      </c>
      <c r="C28" s="1">
        <v>45468.3656134259</v>
      </c>
      <c r="D28" s="2" t="s">
        <v>19</v>
      </c>
      <c r="E28" s="2"/>
      <c r="F28" s="2" t="s">
        <v>20</v>
      </c>
      <c r="G28" s="2" t="s">
        <v>48</v>
      </c>
      <c r="H28" s="2"/>
      <c r="I28" t="str">
        <f>OfficeForms.Table[[#This Row],[Gruppe Blau]]&amp;OfficeForms.Table[[#This Row],[Gruppe Grün]]</f>
        <v>Elefant blau</v>
      </c>
      <c r="J28" s="2" t="s">
        <v>12</v>
      </c>
      <c r="M28">
        <v>11</v>
      </c>
      <c r="O28" s="2"/>
      <c r="P28" s="4"/>
      <c r="Q28" s="2"/>
      <c r="R28" s="2"/>
      <c r="S28" s="4"/>
    </row>
    <row r="29" spans="1:19">
      <c r="A29">
        <v>246</v>
      </c>
      <c r="B29" s="1">
        <v>45468.472731481503</v>
      </c>
      <c r="C29" s="1">
        <v>45468.479629629597</v>
      </c>
      <c r="D29" s="2" t="s">
        <v>19</v>
      </c>
      <c r="E29" s="2"/>
      <c r="F29" s="2" t="s">
        <v>22</v>
      </c>
      <c r="G29" s="2"/>
      <c r="H29" s="2" t="s">
        <v>49</v>
      </c>
      <c r="I29" t="str">
        <f>OfficeForms.Table[[#This Row],[Gruppe Blau]]&amp;OfficeForms.Table[[#This Row],[Gruppe Grün]]</f>
        <v>Igel grün</v>
      </c>
      <c r="J29" s="2" t="s">
        <v>12</v>
      </c>
      <c r="M29">
        <v>12</v>
      </c>
      <c r="O29" s="2"/>
      <c r="P29" s="4"/>
      <c r="Q29" s="2"/>
      <c r="R29" s="2"/>
      <c r="S29" s="4"/>
    </row>
    <row r="30" spans="1:19">
      <c r="A30">
        <v>123</v>
      </c>
      <c r="B30" s="1">
        <v>45468.397870370398</v>
      </c>
      <c r="C30" s="1">
        <v>45468.404965277798</v>
      </c>
      <c r="D30" s="2" t="s">
        <v>19</v>
      </c>
      <c r="E30" s="2"/>
      <c r="F30" s="2" t="s">
        <v>22</v>
      </c>
      <c r="G30" s="2"/>
      <c r="H30" s="2" t="s">
        <v>50</v>
      </c>
      <c r="I30" t="str">
        <f>OfficeForms.Table[[#This Row],[Gruppe Blau]]&amp;OfficeForms.Table[[#This Row],[Gruppe Grün]]</f>
        <v>Panda grün</v>
      </c>
      <c r="J30" s="2" t="s">
        <v>12</v>
      </c>
      <c r="M30">
        <v>13</v>
      </c>
      <c r="O30" s="2"/>
      <c r="P30" s="4"/>
      <c r="Q30" s="2"/>
      <c r="R30" s="2"/>
      <c r="S30" s="4"/>
    </row>
    <row r="31" spans="1:19">
      <c r="A31">
        <v>37</v>
      </c>
      <c r="B31" s="1">
        <v>45468.340138888903</v>
      </c>
      <c r="C31" s="1">
        <v>45468.3598263889</v>
      </c>
      <c r="D31" s="2" t="s">
        <v>19</v>
      </c>
      <c r="E31" s="2"/>
      <c r="F31" s="2" t="s">
        <v>22</v>
      </c>
      <c r="G31" s="2"/>
      <c r="H31" s="2" t="s">
        <v>51</v>
      </c>
      <c r="I31" t="str">
        <f>OfficeForms.Table[[#This Row],[Gruppe Blau]]&amp;OfficeForms.Table[[#This Row],[Gruppe Grün]]</f>
        <v>Schlange grün</v>
      </c>
      <c r="J31" s="2" t="s">
        <v>12</v>
      </c>
      <c r="M31">
        <v>13</v>
      </c>
      <c r="O31" s="2"/>
      <c r="P31" s="4"/>
      <c r="Q31" s="2"/>
      <c r="R31" s="2"/>
      <c r="S31" s="4"/>
    </row>
    <row r="32" spans="1:19">
      <c r="A32">
        <v>70</v>
      </c>
      <c r="B32" s="1">
        <v>45468.366030092599</v>
      </c>
      <c r="C32" s="1">
        <v>45468.376956018503</v>
      </c>
      <c r="D32" s="2" t="s">
        <v>19</v>
      </c>
      <c r="E32" s="2"/>
      <c r="F32" s="2" t="s">
        <v>22</v>
      </c>
      <c r="G32" s="2"/>
      <c r="H32" s="2" t="s">
        <v>52</v>
      </c>
      <c r="I32" t="str">
        <f>OfficeForms.Table[[#This Row],[Gruppe Blau]]&amp;OfficeForms.Table[[#This Row],[Gruppe Grün]]</f>
        <v>Katze grün</v>
      </c>
      <c r="J32" s="2" t="s">
        <v>12</v>
      </c>
      <c r="M32">
        <v>14</v>
      </c>
      <c r="O32" s="2"/>
      <c r="P32" s="4"/>
      <c r="Q32" s="2"/>
      <c r="R32" s="2"/>
      <c r="S32" s="4"/>
    </row>
    <row r="33" spans="1:19">
      <c r="A33">
        <v>233</v>
      </c>
      <c r="B33" s="1">
        <v>45468.467060185198</v>
      </c>
      <c r="C33" s="1">
        <v>45468.472800925898</v>
      </c>
      <c r="D33" s="2" t="s">
        <v>19</v>
      </c>
      <c r="E33" s="2"/>
      <c r="F33" s="2" t="s">
        <v>20</v>
      </c>
      <c r="G33" s="2" t="s">
        <v>53</v>
      </c>
      <c r="H33" s="2"/>
      <c r="I33" t="str">
        <f>OfficeForms.Table[[#This Row],[Gruppe Blau]]&amp;OfficeForms.Table[[#This Row],[Gruppe Grün]]</f>
        <v>Fuchs blau</v>
      </c>
      <c r="J33" s="2" t="s">
        <v>12</v>
      </c>
      <c r="M33">
        <v>16</v>
      </c>
      <c r="O33" s="2"/>
      <c r="P33" s="4"/>
      <c r="Q33" s="2"/>
      <c r="R33" s="2"/>
      <c r="S33" s="4"/>
    </row>
    <row r="34" spans="1:19">
      <c r="A34">
        <v>281</v>
      </c>
      <c r="B34" s="1">
        <v>45468.496585648099</v>
      </c>
      <c r="C34" s="1">
        <v>45468.496689814798</v>
      </c>
      <c r="D34" s="2" t="s">
        <v>19</v>
      </c>
      <c r="E34" s="2"/>
      <c r="F34" s="2" t="s">
        <v>20</v>
      </c>
      <c r="G34" s="2" t="s">
        <v>36</v>
      </c>
      <c r="H34" s="2"/>
      <c r="I34" t="str">
        <f>OfficeForms.Table[[#This Row],[Gruppe Blau]]&amp;OfficeForms.Table[[#This Row],[Gruppe Grün]]</f>
        <v>Affe blau</v>
      </c>
      <c r="J34" s="2" t="s">
        <v>15</v>
      </c>
      <c r="O34" s="2"/>
      <c r="P34" s="4">
        <v>11</v>
      </c>
      <c r="Q34" s="2"/>
      <c r="R34" s="2"/>
      <c r="S34" s="4"/>
    </row>
    <row r="35" spans="1:19">
      <c r="A35">
        <v>283</v>
      </c>
      <c r="B35" s="1">
        <v>45468.496712963002</v>
      </c>
      <c r="C35" s="1">
        <v>45468.496817129599</v>
      </c>
      <c r="D35" s="2" t="s">
        <v>19</v>
      </c>
      <c r="E35" s="2"/>
      <c r="F35" s="2" t="s">
        <v>22</v>
      </c>
      <c r="G35" s="2"/>
      <c r="H35" s="2" t="s">
        <v>28</v>
      </c>
      <c r="I35" t="str">
        <f>OfficeForms.Table[[#This Row],[Gruppe Blau]]&amp;OfficeForms.Table[[#This Row],[Gruppe Grün]]</f>
        <v>Affe grün</v>
      </c>
      <c r="J35" s="2" t="s">
        <v>15</v>
      </c>
      <c r="O35" s="2"/>
      <c r="P35" s="4">
        <v>11</v>
      </c>
      <c r="Q35" s="2"/>
      <c r="R35" s="2"/>
      <c r="S35" s="4"/>
    </row>
    <row r="36" spans="1:19">
      <c r="A36">
        <v>171</v>
      </c>
      <c r="B36" s="1">
        <v>45468.439178240696</v>
      </c>
      <c r="C36" s="1">
        <v>45468.439282407402</v>
      </c>
      <c r="D36" s="2" t="s">
        <v>19</v>
      </c>
      <c r="E36" s="2"/>
      <c r="F36" s="2" t="s">
        <v>20</v>
      </c>
      <c r="G36" s="2" t="s">
        <v>47</v>
      </c>
      <c r="H36" s="2"/>
      <c r="I36" t="str">
        <f>OfficeForms.Table[[#This Row],[Gruppe Blau]]&amp;OfficeForms.Table[[#This Row],[Gruppe Grün]]</f>
        <v>Delfin blau</v>
      </c>
      <c r="J36" s="2" t="s">
        <v>15</v>
      </c>
      <c r="O36" s="2"/>
      <c r="P36" s="4">
        <v>7</v>
      </c>
      <c r="Q36" s="2"/>
      <c r="R36" s="2"/>
      <c r="S36" s="4"/>
    </row>
    <row r="37" spans="1:19">
      <c r="A37">
        <v>170</v>
      </c>
      <c r="B37" s="1">
        <v>45468.4387152778</v>
      </c>
      <c r="C37" s="1">
        <v>45468.439155092601</v>
      </c>
      <c r="D37" s="2" t="s">
        <v>19</v>
      </c>
      <c r="E37" s="2"/>
      <c r="F37" s="2" t="s">
        <v>22</v>
      </c>
      <c r="G37" s="2"/>
      <c r="H37" s="2" t="s">
        <v>33</v>
      </c>
      <c r="I37" t="str">
        <f>OfficeForms.Table[[#This Row],[Gruppe Blau]]&amp;OfficeForms.Table[[#This Row],[Gruppe Grün]]</f>
        <v>Delfin grün</v>
      </c>
      <c r="J37" s="2" t="s">
        <v>15</v>
      </c>
      <c r="O37" s="2"/>
      <c r="P37" s="4">
        <v>13</v>
      </c>
      <c r="Q37" s="2"/>
      <c r="R37" s="2"/>
      <c r="S37" s="4"/>
    </row>
    <row r="38" spans="1:19">
      <c r="A38">
        <v>161</v>
      </c>
      <c r="B38" s="1">
        <v>45468.423981481501</v>
      </c>
      <c r="C38" s="1">
        <v>45468.424247685201</v>
      </c>
      <c r="D38" s="2" t="s">
        <v>19</v>
      </c>
      <c r="E38" s="2"/>
      <c r="F38" s="2" t="s">
        <v>22</v>
      </c>
      <c r="G38" s="2"/>
      <c r="H38" s="2" t="s">
        <v>34</v>
      </c>
      <c r="I38" t="str">
        <f>OfficeForms.Table[[#This Row],[Gruppe Blau]]&amp;OfficeForms.Table[[#This Row],[Gruppe Grün]]</f>
        <v>Elefant grün</v>
      </c>
      <c r="J38" s="2" t="s">
        <v>15</v>
      </c>
      <c r="O38" s="2"/>
      <c r="P38" s="4">
        <v>9</v>
      </c>
      <c r="Q38" s="2"/>
      <c r="R38" s="2"/>
      <c r="S38" s="4"/>
    </row>
    <row r="39" spans="1:19">
      <c r="A39">
        <v>162</v>
      </c>
      <c r="B39" s="1">
        <v>45468.4242592593</v>
      </c>
      <c r="C39" s="1">
        <v>45468.424513888902</v>
      </c>
      <c r="D39" s="2" t="s">
        <v>19</v>
      </c>
      <c r="E39" s="2"/>
      <c r="F39" s="2" t="s">
        <v>20</v>
      </c>
      <c r="G39" s="2" t="s">
        <v>48</v>
      </c>
      <c r="H39" s="2"/>
      <c r="I39" t="str">
        <f>OfficeForms.Table[[#This Row],[Gruppe Blau]]&amp;OfficeForms.Table[[#This Row],[Gruppe Grün]]</f>
        <v>Elefant blau</v>
      </c>
      <c r="J39" s="2" t="s">
        <v>15</v>
      </c>
      <c r="O39" s="2"/>
      <c r="P39" s="4">
        <v>16</v>
      </c>
      <c r="Q39" s="2"/>
      <c r="R39" s="2"/>
      <c r="S39" s="4"/>
    </row>
    <row r="40" spans="1:19">
      <c r="A40">
        <v>76</v>
      </c>
      <c r="B40" s="1">
        <v>45468.3800231481</v>
      </c>
      <c r="C40" s="1">
        <v>45468.380150463003</v>
      </c>
      <c r="D40" s="2" t="s">
        <v>19</v>
      </c>
      <c r="E40" s="2"/>
      <c r="F40" s="2" t="s">
        <v>22</v>
      </c>
      <c r="G40" s="2"/>
      <c r="H40" s="2" t="s">
        <v>24</v>
      </c>
      <c r="I40" t="str">
        <f>OfficeForms.Table[[#This Row],[Gruppe Blau]]&amp;OfficeForms.Table[[#This Row],[Gruppe Grün]]</f>
        <v>Eule grün</v>
      </c>
      <c r="J40" s="2" t="s">
        <v>15</v>
      </c>
      <c r="O40" s="2"/>
      <c r="P40" s="4">
        <v>16</v>
      </c>
      <c r="Q40" s="2"/>
      <c r="R40" s="2"/>
      <c r="S40" s="4"/>
    </row>
    <row r="41" spans="1:19">
      <c r="A41">
        <v>79</v>
      </c>
      <c r="B41" s="1">
        <v>45468.380173611098</v>
      </c>
      <c r="C41" s="1">
        <v>45468.380451388897</v>
      </c>
      <c r="D41" s="2" t="s">
        <v>19</v>
      </c>
      <c r="E41" s="2"/>
      <c r="F41" s="2" t="s">
        <v>20</v>
      </c>
      <c r="G41" s="2" t="s">
        <v>46</v>
      </c>
      <c r="H41" s="2"/>
      <c r="I41" t="str">
        <f>OfficeForms.Table[[#This Row],[Gruppe Blau]]&amp;OfficeForms.Table[[#This Row],[Gruppe Grün]]</f>
        <v>Eule blau</v>
      </c>
      <c r="J41" s="2" t="s">
        <v>15</v>
      </c>
      <c r="O41" s="2"/>
      <c r="P41" s="4">
        <v>16</v>
      </c>
      <c r="Q41" s="2"/>
      <c r="R41" s="2"/>
      <c r="S41" s="4"/>
    </row>
    <row r="42" spans="1:19">
      <c r="A42">
        <v>85</v>
      </c>
      <c r="B42" s="1">
        <v>45468.380891203698</v>
      </c>
      <c r="C42" s="1">
        <v>45468.3811458333</v>
      </c>
      <c r="D42" s="2" t="s">
        <v>19</v>
      </c>
      <c r="E42" s="2"/>
      <c r="F42" s="2" t="s">
        <v>20</v>
      </c>
      <c r="G42" s="2" t="s">
        <v>54</v>
      </c>
      <c r="H42" s="2"/>
      <c r="I42" t="str">
        <f>OfficeForms.Table[[#This Row],[Gruppe Blau]]&amp;OfficeForms.Table[[#This Row],[Gruppe Grün]]</f>
        <v>Fuchs blau</v>
      </c>
      <c r="J42" s="2" t="s">
        <v>15</v>
      </c>
      <c r="O42" s="2"/>
      <c r="P42" s="4">
        <v>15</v>
      </c>
      <c r="Q42" s="2"/>
      <c r="R42" s="2"/>
      <c r="S42" s="4"/>
    </row>
    <row r="43" spans="1:19">
      <c r="A43">
        <v>82</v>
      </c>
      <c r="B43" s="1">
        <v>45468.380474537</v>
      </c>
      <c r="C43" s="1">
        <v>45468.3808796296</v>
      </c>
      <c r="D43" s="2" t="s">
        <v>19</v>
      </c>
      <c r="E43" s="2"/>
      <c r="F43" s="2" t="s">
        <v>22</v>
      </c>
      <c r="G43" s="2"/>
      <c r="H43" s="2" t="s">
        <v>25</v>
      </c>
      <c r="I43" t="str">
        <f>OfficeForms.Table[[#This Row],[Gruppe Blau]]&amp;OfficeForms.Table[[#This Row],[Gruppe Grün]]</f>
        <v>Fuchs grün</v>
      </c>
      <c r="J43" s="2" t="s">
        <v>15</v>
      </c>
      <c r="O43" s="2"/>
      <c r="P43" s="4">
        <v>13</v>
      </c>
      <c r="Q43" s="2"/>
      <c r="R43" s="2"/>
      <c r="S43" s="4"/>
    </row>
    <row r="44" spans="1:19">
      <c r="A44">
        <v>117</v>
      </c>
      <c r="B44" s="1">
        <v>45468.398715277799</v>
      </c>
      <c r="C44" s="1">
        <v>45468.398854166699</v>
      </c>
      <c r="D44" s="2" t="s">
        <v>19</v>
      </c>
      <c r="E44" s="2"/>
      <c r="F44" s="2" t="s">
        <v>22</v>
      </c>
      <c r="G44" s="2"/>
      <c r="H44" s="2" t="s">
        <v>31</v>
      </c>
      <c r="I44" t="str">
        <f>OfficeForms.Table[[#This Row],[Gruppe Blau]]&amp;OfficeForms.Table[[#This Row],[Gruppe Grün]]</f>
        <v>Giraffe grün</v>
      </c>
      <c r="J44" s="2" t="s">
        <v>15</v>
      </c>
      <c r="O44" s="2"/>
      <c r="P44" s="4">
        <v>9</v>
      </c>
      <c r="Q44" s="2"/>
      <c r="R44" s="2"/>
      <c r="S44" s="4"/>
    </row>
    <row r="45" spans="1:19">
      <c r="A45">
        <v>118</v>
      </c>
      <c r="B45" s="1">
        <v>45468.398877314801</v>
      </c>
      <c r="C45" s="1">
        <v>45468.3991087963</v>
      </c>
      <c r="D45" s="2" t="s">
        <v>19</v>
      </c>
      <c r="E45" s="2"/>
      <c r="F45" s="2" t="s">
        <v>20</v>
      </c>
      <c r="G45" s="2" t="s">
        <v>21</v>
      </c>
      <c r="H45" s="2"/>
      <c r="I45" t="str">
        <f>OfficeForms.Table[[#This Row],[Gruppe Blau]]&amp;OfficeForms.Table[[#This Row],[Gruppe Grün]]</f>
        <v>Giraffe blau</v>
      </c>
      <c r="J45" s="2" t="s">
        <v>15</v>
      </c>
      <c r="O45" s="2"/>
      <c r="P45" s="4">
        <v>7</v>
      </c>
      <c r="Q45" s="2"/>
      <c r="R45" s="2"/>
      <c r="S45" s="4"/>
    </row>
    <row r="46" spans="1:19">
      <c r="A46">
        <v>115</v>
      </c>
      <c r="B46" s="1">
        <v>45468.397928240702</v>
      </c>
      <c r="C46" s="1">
        <v>45468.3985300926</v>
      </c>
      <c r="D46" s="2" t="s">
        <v>19</v>
      </c>
      <c r="E46" s="2"/>
      <c r="F46" s="2" t="s">
        <v>22</v>
      </c>
      <c r="G46" s="2"/>
      <c r="H46" s="2" t="s">
        <v>49</v>
      </c>
      <c r="I46" t="str">
        <f>OfficeForms.Table[[#This Row],[Gruppe Blau]]&amp;OfficeForms.Table[[#This Row],[Gruppe Grün]]</f>
        <v>Igel grün</v>
      </c>
      <c r="J46" s="2" t="s">
        <v>15</v>
      </c>
      <c r="O46" s="2"/>
      <c r="P46" s="4">
        <v>10</v>
      </c>
      <c r="Q46" s="2"/>
      <c r="R46" s="2"/>
      <c r="S46" s="4"/>
    </row>
    <row r="47" spans="1:19">
      <c r="A47">
        <v>116</v>
      </c>
      <c r="B47" s="1">
        <v>45468.398553240702</v>
      </c>
      <c r="C47" s="1">
        <v>45468.3987037037</v>
      </c>
      <c r="D47" s="2" t="s">
        <v>19</v>
      </c>
      <c r="E47" s="2"/>
      <c r="F47" s="2" t="s">
        <v>20</v>
      </c>
      <c r="G47" s="2" t="s">
        <v>32</v>
      </c>
      <c r="H47" s="2"/>
      <c r="I47" t="str">
        <f>OfficeForms.Table[[#This Row],[Gruppe Blau]]&amp;OfficeForms.Table[[#This Row],[Gruppe Grün]]</f>
        <v>Igel blau</v>
      </c>
      <c r="J47" s="2" t="s">
        <v>15</v>
      </c>
      <c r="O47" s="2"/>
      <c r="P47" s="4">
        <v>21</v>
      </c>
      <c r="Q47" s="2"/>
      <c r="R47" s="2"/>
      <c r="S47" s="4"/>
    </row>
    <row r="48" spans="1:19">
      <c r="A48">
        <v>168</v>
      </c>
      <c r="B48" s="1">
        <v>45468.438530092601</v>
      </c>
      <c r="C48" s="1">
        <v>45468.438657407401</v>
      </c>
      <c r="D48" s="2" t="s">
        <v>19</v>
      </c>
      <c r="E48" s="2"/>
      <c r="F48" s="2" t="s">
        <v>22</v>
      </c>
      <c r="G48" s="2"/>
      <c r="H48" s="2" t="s">
        <v>52</v>
      </c>
      <c r="I48" t="str">
        <f>OfficeForms.Table[[#This Row],[Gruppe Blau]]&amp;OfficeForms.Table[[#This Row],[Gruppe Grün]]</f>
        <v>Katze grün</v>
      </c>
      <c r="J48" s="2" t="s">
        <v>15</v>
      </c>
      <c r="O48" s="2"/>
      <c r="P48" s="4">
        <v>12</v>
      </c>
      <c r="Q48" s="2"/>
      <c r="R48" s="2"/>
      <c r="S48" s="4"/>
    </row>
    <row r="49" spans="1:19">
      <c r="A49">
        <v>167</v>
      </c>
      <c r="B49" s="1">
        <v>45468.4381712963</v>
      </c>
      <c r="C49" s="1">
        <v>45468.438449074099</v>
      </c>
      <c r="D49" s="2" t="s">
        <v>19</v>
      </c>
      <c r="E49" s="2"/>
      <c r="F49" s="2" t="s">
        <v>20</v>
      </c>
      <c r="G49" s="2" t="s">
        <v>37</v>
      </c>
      <c r="H49" s="2"/>
      <c r="I49" t="str">
        <f>OfficeForms.Table[[#This Row],[Gruppe Blau]]&amp;OfficeForms.Table[[#This Row],[Gruppe Grün]]</f>
        <v>Katze blau</v>
      </c>
      <c r="J49" s="2" t="s">
        <v>15</v>
      </c>
      <c r="O49" s="2"/>
      <c r="P49" s="4">
        <v>12</v>
      </c>
      <c r="Q49" s="2"/>
      <c r="R49" s="2"/>
      <c r="S49" s="4"/>
    </row>
    <row r="50" spans="1:19">
      <c r="A50">
        <v>55</v>
      </c>
      <c r="B50" s="1">
        <v>45468.365844907399</v>
      </c>
      <c r="C50" s="1">
        <v>45468.366273148102</v>
      </c>
      <c r="D50" s="2" t="s">
        <v>19</v>
      </c>
      <c r="E50" s="2"/>
      <c r="F50" s="2" t="s">
        <v>22</v>
      </c>
      <c r="G50" s="2"/>
      <c r="H50" s="2" t="s">
        <v>23</v>
      </c>
      <c r="I50" t="str">
        <f>OfficeForms.Table[[#This Row],[Gruppe Blau]]&amp;OfficeForms.Table[[#This Row],[Gruppe Grün]]</f>
        <v>Krebs grün</v>
      </c>
      <c r="J50" s="2" t="s">
        <v>15</v>
      </c>
      <c r="O50" s="2"/>
      <c r="P50" s="4">
        <v>14</v>
      </c>
      <c r="Q50" s="2"/>
      <c r="R50" s="2"/>
      <c r="S50" s="4"/>
    </row>
    <row r="51" spans="1:19">
      <c r="A51">
        <v>58</v>
      </c>
      <c r="B51" s="1">
        <v>45468.366296296299</v>
      </c>
      <c r="C51" s="1">
        <v>45468.366620370398</v>
      </c>
      <c r="D51" s="2" t="s">
        <v>19</v>
      </c>
      <c r="E51" s="2"/>
      <c r="F51" s="2" t="s">
        <v>20</v>
      </c>
      <c r="G51" s="2" t="s">
        <v>26</v>
      </c>
      <c r="H51" s="2"/>
      <c r="I51" t="str">
        <f>OfficeForms.Table[[#This Row],[Gruppe Blau]]&amp;OfficeForms.Table[[#This Row],[Gruppe Grün]]</f>
        <v>Krebs blau</v>
      </c>
      <c r="J51" s="2" t="s">
        <v>15</v>
      </c>
      <c r="O51" s="2"/>
      <c r="P51" s="4">
        <v>16</v>
      </c>
      <c r="Q51" s="2"/>
      <c r="R51" s="2"/>
      <c r="S51" s="4"/>
    </row>
    <row r="52" spans="1:19">
      <c r="A52">
        <v>239</v>
      </c>
      <c r="B52" s="1">
        <v>45468.475833333301</v>
      </c>
      <c r="C52" s="1">
        <v>45468.476006944402</v>
      </c>
      <c r="D52" s="2" t="s">
        <v>19</v>
      </c>
      <c r="E52" s="2"/>
      <c r="F52" s="2" t="s">
        <v>22</v>
      </c>
      <c r="G52" s="2"/>
      <c r="H52" s="2" t="s">
        <v>38</v>
      </c>
      <c r="I52" t="str">
        <f>OfficeForms.Table[[#This Row],[Gruppe Blau]]&amp;OfficeForms.Table[[#This Row],[Gruppe Grün]]</f>
        <v>Nilpferd grün</v>
      </c>
      <c r="J52" s="2" t="s">
        <v>15</v>
      </c>
      <c r="O52" s="2"/>
      <c r="P52" s="4">
        <v>10</v>
      </c>
      <c r="Q52" s="2"/>
      <c r="R52" s="2"/>
      <c r="S52" s="4"/>
    </row>
    <row r="53" spans="1:19">
      <c r="A53">
        <v>240</v>
      </c>
      <c r="B53" s="1">
        <v>45468.476030092599</v>
      </c>
      <c r="C53" s="1">
        <v>45468.476215277798</v>
      </c>
      <c r="D53" s="2" t="s">
        <v>19</v>
      </c>
      <c r="E53" s="2"/>
      <c r="F53" s="2" t="s">
        <v>20</v>
      </c>
      <c r="G53" s="2" t="s">
        <v>41</v>
      </c>
      <c r="H53" s="2"/>
      <c r="I53" t="str">
        <f>OfficeForms.Table[[#This Row],[Gruppe Blau]]&amp;OfficeForms.Table[[#This Row],[Gruppe Grün]]</f>
        <v>Nilpferd blau</v>
      </c>
      <c r="J53" s="2" t="s">
        <v>15</v>
      </c>
      <c r="O53" s="2"/>
      <c r="P53" s="4">
        <v>8</v>
      </c>
      <c r="Q53" s="2"/>
      <c r="R53" s="2"/>
      <c r="S53" s="4"/>
    </row>
    <row r="54" spans="1:19">
      <c r="A54">
        <v>241</v>
      </c>
      <c r="B54" s="1">
        <v>45468.476226851897</v>
      </c>
      <c r="C54" s="1">
        <v>45468.476435185199</v>
      </c>
      <c r="D54" s="2" t="s">
        <v>19</v>
      </c>
      <c r="E54" s="2"/>
      <c r="F54" s="2" t="s">
        <v>22</v>
      </c>
      <c r="G54" s="2"/>
      <c r="H54" s="2" t="s">
        <v>50</v>
      </c>
      <c r="I54" t="str">
        <f>OfficeForms.Table[[#This Row],[Gruppe Blau]]&amp;OfficeForms.Table[[#This Row],[Gruppe Grün]]</f>
        <v>Panda grün</v>
      </c>
      <c r="J54" s="2" t="s">
        <v>15</v>
      </c>
      <c r="O54" s="2"/>
      <c r="P54" s="4">
        <v>16</v>
      </c>
      <c r="Q54" s="2"/>
      <c r="R54" s="2"/>
      <c r="S54" s="4"/>
    </row>
    <row r="55" spans="1:19">
      <c r="A55">
        <v>242</v>
      </c>
      <c r="B55" s="1">
        <v>45468.476458333302</v>
      </c>
      <c r="C55" s="1">
        <v>45468.476666666698</v>
      </c>
      <c r="D55" s="2" t="s">
        <v>19</v>
      </c>
      <c r="E55" s="2"/>
      <c r="F55" s="2" t="s">
        <v>20</v>
      </c>
      <c r="G55" s="2" t="s">
        <v>27</v>
      </c>
      <c r="H55" s="2"/>
      <c r="I55" t="str">
        <f>OfficeForms.Table[[#This Row],[Gruppe Blau]]&amp;OfficeForms.Table[[#This Row],[Gruppe Grün]]</f>
        <v>Panda blau</v>
      </c>
      <c r="J55" s="2" t="s">
        <v>15</v>
      </c>
      <c r="O55" s="2"/>
      <c r="P55" s="4">
        <v>9</v>
      </c>
      <c r="Q55" s="2"/>
      <c r="R55" s="2"/>
      <c r="S55" s="4"/>
    </row>
    <row r="56" spans="1:19">
      <c r="A56">
        <v>286</v>
      </c>
      <c r="B56" s="1">
        <v>45468.496932870403</v>
      </c>
      <c r="C56" s="1">
        <v>45468.497071759302</v>
      </c>
      <c r="D56" s="2" t="s">
        <v>19</v>
      </c>
      <c r="E56" s="2"/>
      <c r="F56" s="2" t="s">
        <v>22</v>
      </c>
      <c r="G56" s="2"/>
      <c r="H56" s="2" t="s">
        <v>29</v>
      </c>
      <c r="I56" t="str">
        <f>OfficeForms.Table[[#This Row],[Gruppe Blau]]&amp;OfficeForms.Table[[#This Row],[Gruppe Grün]]</f>
        <v>Schaf grün</v>
      </c>
      <c r="J56" s="2" t="s">
        <v>15</v>
      </c>
      <c r="O56" s="2"/>
      <c r="P56" s="4">
        <v>10</v>
      </c>
      <c r="Q56" s="2"/>
      <c r="R56" s="2"/>
      <c r="S56" s="4"/>
    </row>
    <row r="57" spans="1:19">
      <c r="A57">
        <v>287</v>
      </c>
      <c r="B57" s="1">
        <v>45468.497094907398</v>
      </c>
      <c r="C57" s="1">
        <v>45468.497245370403</v>
      </c>
      <c r="D57" s="2" t="s">
        <v>19</v>
      </c>
      <c r="E57" s="2"/>
      <c r="F57" s="2" t="s">
        <v>20</v>
      </c>
      <c r="G57" s="2" t="s">
        <v>42</v>
      </c>
      <c r="H57" s="2"/>
      <c r="I57" t="str">
        <f>OfficeForms.Table[[#This Row],[Gruppe Blau]]&amp;OfficeForms.Table[[#This Row],[Gruppe Grün]]</f>
        <v>Schaf blau</v>
      </c>
      <c r="J57" s="2" t="s">
        <v>15</v>
      </c>
      <c r="O57" s="2"/>
      <c r="P57" s="4">
        <v>4</v>
      </c>
      <c r="Q57" s="2"/>
      <c r="R57" s="2"/>
      <c r="S57" s="4"/>
    </row>
    <row r="58" spans="1:19">
      <c r="A58">
        <v>61</v>
      </c>
      <c r="B58" s="1">
        <v>45468.367430555598</v>
      </c>
      <c r="C58" s="1">
        <v>45468.367615740703</v>
      </c>
      <c r="D58" s="2" t="s">
        <v>19</v>
      </c>
      <c r="E58" s="2"/>
      <c r="F58" s="2" t="s">
        <v>22</v>
      </c>
      <c r="G58" s="2"/>
      <c r="H58" s="2" t="s">
        <v>30</v>
      </c>
      <c r="I58" t="str">
        <f>OfficeForms.Table[[#This Row],[Gruppe Blau]]&amp;OfficeForms.Table[[#This Row],[Gruppe Grün]]</f>
        <v>Schildkröte grün</v>
      </c>
      <c r="J58" s="2" t="s">
        <v>15</v>
      </c>
      <c r="O58" s="2"/>
      <c r="P58" s="4">
        <v>17</v>
      </c>
      <c r="Q58" s="2"/>
      <c r="R58" s="2"/>
      <c r="S58" s="4"/>
    </row>
    <row r="59" spans="1:19">
      <c r="A59">
        <v>60</v>
      </c>
      <c r="B59" s="1">
        <v>45468.367118055598</v>
      </c>
      <c r="C59" s="1">
        <v>45468.367349537002</v>
      </c>
      <c r="D59" s="2" t="s">
        <v>19</v>
      </c>
      <c r="E59" s="2"/>
      <c r="F59" s="2" t="s">
        <v>20</v>
      </c>
      <c r="G59" s="2" t="s">
        <v>43</v>
      </c>
      <c r="H59" s="2"/>
      <c r="I59" t="str">
        <f>OfficeForms.Table[[#This Row],[Gruppe Blau]]&amp;OfficeForms.Table[[#This Row],[Gruppe Grün]]</f>
        <v>Schildkröte blau</v>
      </c>
      <c r="J59" s="2" t="s">
        <v>15</v>
      </c>
      <c r="O59" s="2"/>
      <c r="P59" s="4">
        <v>10</v>
      </c>
      <c r="Q59" s="2"/>
      <c r="R59" s="2"/>
      <c r="S59" s="4"/>
    </row>
    <row r="60" spans="1:19">
      <c r="A60">
        <v>159</v>
      </c>
      <c r="B60" s="1">
        <v>45468.418182870402</v>
      </c>
      <c r="C60" s="1">
        <v>45468.418680555602</v>
      </c>
      <c r="D60" s="2" t="s">
        <v>19</v>
      </c>
      <c r="E60" s="2"/>
      <c r="F60" s="2" t="s">
        <v>22</v>
      </c>
      <c r="G60" s="2"/>
      <c r="H60" s="2" t="s">
        <v>51</v>
      </c>
      <c r="I60" t="str">
        <f>OfficeForms.Table[[#This Row],[Gruppe Blau]]&amp;OfficeForms.Table[[#This Row],[Gruppe Grün]]</f>
        <v>Schlange grün</v>
      </c>
      <c r="J60" s="2" t="s">
        <v>15</v>
      </c>
      <c r="O60" s="2"/>
      <c r="P60" s="4">
        <v>17</v>
      </c>
      <c r="Q60" s="2"/>
      <c r="R60" s="2"/>
      <c r="S60" s="4"/>
    </row>
    <row r="61" spans="1:19">
      <c r="A61">
        <v>160</v>
      </c>
      <c r="B61" s="1">
        <v>45468.418692129599</v>
      </c>
      <c r="C61" s="1">
        <v>45468.418981481504</v>
      </c>
      <c r="D61" s="2" t="s">
        <v>19</v>
      </c>
      <c r="E61" s="2"/>
      <c r="F61" s="2" t="s">
        <v>20</v>
      </c>
      <c r="G61" s="2" t="s">
        <v>39</v>
      </c>
      <c r="H61" s="2"/>
      <c r="I61" t="str">
        <f>OfficeForms.Table[[#This Row],[Gruppe Blau]]&amp;OfficeForms.Table[[#This Row],[Gruppe Grün]]</f>
        <v>Schlange blau</v>
      </c>
      <c r="J61" s="2" t="s">
        <v>15</v>
      </c>
      <c r="O61" s="2"/>
      <c r="P61" s="4">
        <v>14</v>
      </c>
      <c r="Q61" s="2"/>
      <c r="R61" s="2"/>
      <c r="S61" s="4"/>
    </row>
    <row r="62" spans="1:19">
      <c r="A62">
        <v>201</v>
      </c>
      <c r="B62" s="1">
        <v>45468.444791666698</v>
      </c>
      <c r="C62" s="1">
        <v>45468.4535763889</v>
      </c>
      <c r="D62" s="2" t="s">
        <v>19</v>
      </c>
      <c r="E62" s="2"/>
      <c r="F62" s="2" t="s">
        <v>22</v>
      </c>
      <c r="G62" s="2"/>
      <c r="H62" s="2" t="s">
        <v>44</v>
      </c>
      <c r="I62" t="str">
        <f>OfficeForms.Table[[#This Row],[Gruppe Blau]]&amp;OfficeForms.Table[[#This Row],[Gruppe Grün]]</f>
        <v>Schmetterling grün</v>
      </c>
      <c r="J62" s="2" t="s">
        <v>15</v>
      </c>
      <c r="O62" s="2"/>
      <c r="P62" s="4"/>
      <c r="Q62" s="2"/>
      <c r="R62" s="2"/>
      <c r="S62" s="4">
        <v>1</v>
      </c>
    </row>
    <row r="63" spans="1:19">
      <c r="A63">
        <v>200</v>
      </c>
      <c r="B63" s="1">
        <v>45468.453043981499</v>
      </c>
      <c r="C63" s="1">
        <v>45468.453275462998</v>
      </c>
      <c r="D63" s="2" t="s">
        <v>19</v>
      </c>
      <c r="E63" s="2"/>
      <c r="F63" s="2" t="s">
        <v>20</v>
      </c>
      <c r="G63" s="2" t="s">
        <v>40</v>
      </c>
      <c r="H63" s="2"/>
      <c r="I63" t="str">
        <f>OfficeForms.Table[[#This Row],[Gruppe Blau]]&amp;OfficeForms.Table[[#This Row],[Gruppe Grün]]</f>
        <v>Schmetterling blau</v>
      </c>
      <c r="J63" s="2" t="s">
        <v>15</v>
      </c>
      <c r="O63" s="2"/>
      <c r="P63" s="4">
        <v>5</v>
      </c>
      <c r="Q63" s="2"/>
      <c r="R63" s="2"/>
      <c r="S63" s="4"/>
    </row>
    <row r="64" spans="1:19">
      <c r="A64">
        <v>215</v>
      </c>
      <c r="B64" s="1">
        <v>45468.459884259297</v>
      </c>
      <c r="C64" s="1">
        <v>45468.460208333301</v>
      </c>
      <c r="D64" s="2" t="s">
        <v>19</v>
      </c>
      <c r="E64" s="2"/>
      <c r="F64" s="2" t="s">
        <v>22</v>
      </c>
      <c r="G64" s="2"/>
      <c r="H64" s="2" t="s">
        <v>35</v>
      </c>
      <c r="I64" t="str">
        <f>OfficeForms.Table[[#This Row],[Gruppe Blau]]&amp;OfficeForms.Table[[#This Row],[Gruppe Grün]]</f>
        <v>Tiger grün</v>
      </c>
      <c r="J64" s="2" t="s">
        <v>15</v>
      </c>
      <c r="O64" s="2"/>
      <c r="P64" s="4">
        <v>4</v>
      </c>
      <c r="Q64" s="2"/>
      <c r="R64" s="2"/>
      <c r="S64" s="4"/>
    </row>
    <row r="65" spans="1:19">
      <c r="A65">
        <v>216</v>
      </c>
      <c r="B65" s="1">
        <v>45468.460243055597</v>
      </c>
      <c r="C65" s="1">
        <v>45468.460370370398</v>
      </c>
      <c r="D65" s="2" t="s">
        <v>19</v>
      </c>
      <c r="E65" s="2"/>
      <c r="F65" s="2" t="s">
        <v>20</v>
      </c>
      <c r="G65" s="2" t="s">
        <v>45</v>
      </c>
      <c r="H65" s="2"/>
      <c r="I65" t="str">
        <f>OfficeForms.Table[[#This Row],[Gruppe Blau]]&amp;OfficeForms.Table[[#This Row],[Gruppe Grün]]</f>
        <v>Tiger blau</v>
      </c>
      <c r="J65" s="2" t="s">
        <v>15</v>
      </c>
      <c r="O65" s="2"/>
      <c r="P65" s="4">
        <v>5</v>
      </c>
      <c r="Q65" s="2"/>
      <c r="R65" s="2"/>
      <c r="S65" s="4"/>
    </row>
    <row r="66" spans="1:19">
      <c r="A66">
        <v>35</v>
      </c>
      <c r="B66" s="1">
        <v>45468.3588310185</v>
      </c>
      <c r="C66" s="1">
        <v>45468.358958333301</v>
      </c>
      <c r="D66" s="2" t="s">
        <v>19</v>
      </c>
      <c r="E66" s="2"/>
      <c r="F66" s="2" t="s">
        <v>20</v>
      </c>
      <c r="G66" s="2" t="s">
        <v>36</v>
      </c>
      <c r="H66" s="2"/>
      <c r="I66" t="str">
        <f>OfficeForms.Table[[#This Row],[Gruppe Blau]]&amp;OfficeForms.Table[[#This Row],[Gruppe Grün]]</f>
        <v>Affe blau</v>
      </c>
      <c r="J66" s="2" t="s">
        <v>13</v>
      </c>
      <c r="N66">
        <v>20</v>
      </c>
      <c r="O66" s="2"/>
      <c r="P66" s="4"/>
      <c r="Q66" s="2"/>
      <c r="R66" s="2"/>
      <c r="S66" s="4"/>
    </row>
    <row r="67" spans="1:19">
      <c r="A67">
        <v>34</v>
      </c>
      <c r="B67" s="1">
        <v>45468.3286226852</v>
      </c>
      <c r="C67" s="1">
        <v>45468.358796296299</v>
      </c>
      <c r="D67" s="2" t="s">
        <v>19</v>
      </c>
      <c r="E67" s="2"/>
      <c r="F67" s="2" t="s">
        <v>22</v>
      </c>
      <c r="G67" s="2"/>
      <c r="H67" s="2" t="s">
        <v>28</v>
      </c>
      <c r="I67" t="str">
        <f>OfficeForms.Table[[#This Row],[Gruppe Blau]]&amp;OfficeForms.Table[[#This Row],[Gruppe Grün]]</f>
        <v>Affe grün</v>
      </c>
      <c r="J67" s="2" t="s">
        <v>13</v>
      </c>
      <c r="N67">
        <v>76</v>
      </c>
      <c r="O67" s="2"/>
      <c r="P67" s="4"/>
      <c r="Q67" s="2"/>
      <c r="R67" s="2"/>
      <c r="S67" s="4"/>
    </row>
    <row r="68" spans="1:19">
      <c r="A68">
        <v>199</v>
      </c>
      <c r="B68" s="1">
        <v>45468.452685185199</v>
      </c>
      <c r="C68" s="1">
        <v>45468.452800925901</v>
      </c>
      <c r="D68" s="2" t="s">
        <v>19</v>
      </c>
      <c r="E68" s="2"/>
      <c r="F68" s="2" t="s">
        <v>20</v>
      </c>
      <c r="G68" s="2" t="s">
        <v>47</v>
      </c>
      <c r="H68" s="2"/>
      <c r="I68" t="str">
        <f>OfficeForms.Table[[#This Row],[Gruppe Blau]]&amp;OfficeForms.Table[[#This Row],[Gruppe Grün]]</f>
        <v>Delfin blau</v>
      </c>
      <c r="J68" s="2" t="s">
        <v>13</v>
      </c>
      <c r="N68">
        <v>114</v>
      </c>
      <c r="O68" s="2"/>
      <c r="P68" s="4"/>
      <c r="Q68" s="2"/>
      <c r="R68" s="2"/>
      <c r="S68" s="4"/>
    </row>
    <row r="69" spans="1:19">
      <c r="A69">
        <v>197</v>
      </c>
      <c r="B69" s="1">
        <v>45468.447731481501</v>
      </c>
      <c r="C69" s="1">
        <v>45468.452638888899</v>
      </c>
      <c r="D69" s="2" t="s">
        <v>19</v>
      </c>
      <c r="E69" s="2"/>
      <c r="F69" s="2" t="s">
        <v>22</v>
      </c>
      <c r="G69" s="2"/>
      <c r="H69" s="2" t="s">
        <v>33</v>
      </c>
      <c r="I69" t="str">
        <f>OfficeForms.Table[[#This Row],[Gruppe Blau]]&amp;OfficeForms.Table[[#This Row],[Gruppe Grün]]</f>
        <v>Delfin grün</v>
      </c>
      <c r="J69" s="2" t="s">
        <v>13</v>
      </c>
      <c r="N69">
        <v>112</v>
      </c>
      <c r="O69" s="2"/>
      <c r="P69" s="4"/>
      <c r="Q69" s="2"/>
      <c r="R69" s="2"/>
      <c r="S69" s="4"/>
    </row>
    <row r="70" spans="1:19">
      <c r="A70">
        <v>163</v>
      </c>
      <c r="B70" s="1">
        <v>45468.408865740697</v>
      </c>
      <c r="C70" s="1">
        <v>45468.434583333299</v>
      </c>
      <c r="D70" s="2" t="s">
        <v>19</v>
      </c>
      <c r="E70" s="2"/>
      <c r="F70" s="2" t="s">
        <v>22</v>
      </c>
      <c r="G70" s="2"/>
      <c r="H70" s="2" t="s">
        <v>34</v>
      </c>
      <c r="I70" t="str">
        <f>OfficeForms.Table[[#This Row],[Gruppe Blau]]&amp;OfficeForms.Table[[#This Row],[Gruppe Grün]]</f>
        <v>Elefant grün</v>
      </c>
      <c r="J70" s="2" t="s">
        <v>13</v>
      </c>
      <c r="N70">
        <v>99</v>
      </c>
      <c r="O70" s="2"/>
      <c r="P70" s="4"/>
      <c r="Q70" s="2"/>
      <c r="R70" s="2"/>
      <c r="S70" s="4"/>
    </row>
    <row r="71" spans="1:19">
      <c r="A71">
        <v>164</v>
      </c>
      <c r="B71" s="1">
        <v>45468.434606481504</v>
      </c>
      <c r="C71" s="1">
        <v>45468.434733796297</v>
      </c>
      <c r="D71" s="2" t="s">
        <v>19</v>
      </c>
      <c r="E71" s="2"/>
      <c r="F71" s="2" t="s">
        <v>20</v>
      </c>
      <c r="G71" s="2" t="s">
        <v>48</v>
      </c>
      <c r="H71" s="2"/>
      <c r="I71" t="str">
        <f>OfficeForms.Table[[#This Row],[Gruppe Blau]]&amp;OfficeForms.Table[[#This Row],[Gruppe Grün]]</f>
        <v>Elefant blau</v>
      </c>
      <c r="J71" s="2" t="s">
        <v>13</v>
      </c>
      <c r="N71">
        <v>88</v>
      </c>
      <c r="O71" s="2"/>
      <c r="P71" s="4"/>
      <c r="Q71" s="2"/>
      <c r="R71" s="2"/>
      <c r="S71" s="4"/>
    </row>
    <row r="72" spans="1:19">
      <c r="A72">
        <v>97</v>
      </c>
      <c r="B72" s="1">
        <v>45468.385763888902</v>
      </c>
      <c r="C72" s="1">
        <v>45468.391678240703</v>
      </c>
      <c r="D72" s="2" t="s">
        <v>19</v>
      </c>
      <c r="E72" s="2"/>
      <c r="F72" s="2" t="s">
        <v>22</v>
      </c>
      <c r="G72" s="2"/>
      <c r="H72" s="2" t="s">
        <v>24</v>
      </c>
      <c r="I72" t="str">
        <f>OfficeForms.Table[[#This Row],[Gruppe Blau]]&amp;OfficeForms.Table[[#This Row],[Gruppe Grün]]</f>
        <v>Eule grün</v>
      </c>
      <c r="J72" s="2" t="s">
        <v>13</v>
      </c>
      <c r="N72">
        <v>109</v>
      </c>
      <c r="O72" s="2"/>
      <c r="P72" s="4"/>
      <c r="Q72" s="2"/>
      <c r="R72" s="2"/>
      <c r="S72" s="4"/>
    </row>
    <row r="73" spans="1:19">
      <c r="A73">
        <v>98</v>
      </c>
      <c r="B73" s="1">
        <v>45468.391712962999</v>
      </c>
      <c r="C73" s="1">
        <v>45468.391851851797</v>
      </c>
      <c r="D73" s="2" t="s">
        <v>19</v>
      </c>
      <c r="E73" s="2"/>
      <c r="F73" s="2" t="s">
        <v>20</v>
      </c>
      <c r="G73" s="2" t="s">
        <v>46</v>
      </c>
      <c r="H73" s="2"/>
      <c r="I73" t="str">
        <f>OfficeForms.Table[[#This Row],[Gruppe Blau]]&amp;OfficeForms.Table[[#This Row],[Gruppe Grün]]</f>
        <v>Eule blau</v>
      </c>
      <c r="J73" s="2" t="s">
        <v>13</v>
      </c>
      <c r="N73">
        <v>109</v>
      </c>
      <c r="O73" s="2"/>
      <c r="P73" s="4"/>
      <c r="Q73" s="2"/>
      <c r="R73" s="2"/>
      <c r="S73" s="4"/>
    </row>
    <row r="74" spans="1:19">
      <c r="A74">
        <v>91</v>
      </c>
      <c r="B74" s="1">
        <v>45468.376516203702</v>
      </c>
      <c r="C74" s="1">
        <v>45468.385590277801</v>
      </c>
      <c r="D74" s="2" t="s">
        <v>19</v>
      </c>
      <c r="E74" s="2"/>
      <c r="F74" s="2" t="s">
        <v>22</v>
      </c>
      <c r="G74" s="2"/>
      <c r="H74" s="2" t="s">
        <v>25</v>
      </c>
      <c r="I74" t="str">
        <f>OfficeForms.Table[[#This Row],[Gruppe Blau]]&amp;OfficeForms.Table[[#This Row],[Gruppe Grün]]</f>
        <v>Fuchs grün</v>
      </c>
      <c r="J74" s="2" t="s">
        <v>13</v>
      </c>
      <c r="N74">
        <v>53</v>
      </c>
      <c r="O74" s="2"/>
      <c r="P74" s="4"/>
      <c r="Q74" s="2"/>
      <c r="R74" s="2"/>
      <c r="S74" s="4"/>
    </row>
    <row r="75" spans="1:19">
      <c r="A75">
        <v>92</v>
      </c>
      <c r="B75" s="1">
        <v>45468.3856018519</v>
      </c>
      <c r="C75" s="1">
        <v>45468.385729166701</v>
      </c>
      <c r="D75" s="2" t="s">
        <v>19</v>
      </c>
      <c r="E75" s="2"/>
      <c r="F75" s="2" t="s">
        <v>20</v>
      </c>
      <c r="G75" s="2" t="s">
        <v>53</v>
      </c>
      <c r="H75" s="2"/>
      <c r="I75" t="str">
        <f>OfficeForms.Table[[#This Row],[Gruppe Blau]]&amp;OfficeForms.Table[[#This Row],[Gruppe Grün]]</f>
        <v>Fuchs blau</v>
      </c>
      <c r="J75" s="2" t="s">
        <v>13</v>
      </c>
      <c r="N75">
        <v>63</v>
      </c>
      <c r="O75" s="2"/>
      <c r="P75" s="4"/>
      <c r="Q75" s="2"/>
      <c r="R75" s="2"/>
      <c r="S75" s="4"/>
    </row>
    <row r="76" spans="1:19">
      <c r="A76">
        <v>129</v>
      </c>
      <c r="B76" s="1">
        <v>45468.404074074097</v>
      </c>
      <c r="C76" s="1">
        <v>45468.408576388902</v>
      </c>
      <c r="D76" s="2" t="s">
        <v>19</v>
      </c>
      <c r="E76" s="2"/>
      <c r="F76" s="2" t="s">
        <v>22</v>
      </c>
      <c r="G76" s="2"/>
      <c r="H76" s="2" t="s">
        <v>31</v>
      </c>
      <c r="I76" t="str">
        <f>OfficeForms.Table[[#This Row],[Gruppe Blau]]&amp;OfficeForms.Table[[#This Row],[Gruppe Grün]]</f>
        <v>Giraffe grün</v>
      </c>
      <c r="J76" s="2" t="s">
        <v>13</v>
      </c>
      <c r="N76">
        <v>108</v>
      </c>
      <c r="O76" s="2"/>
      <c r="P76" s="4"/>
      <c r="Q76" s="2"/>
      <c r="R76" s="2"/>
      <c r="S76" s="4"/>
    </row>
    <row r="77" spans="1:19">
      <c r="A77">
        <v>130</v>
      </c>
      <c r="B77" s="1">
        <v>45468.408599536997</v>
      </c>
      <c r="C77" s="1">
        <v>45468.408842592602</v>
      </c>
      <c r="D77" s="2" t="s">
        <v>19</v>
      </c>
      <c r="E77" s="2"/>
      <c r="F77" s="2" t="s">
        <v>20</v>
      </c>
      <c r="G77" s="2" t="s">
        <v>21</v>
      </c>
      <c r="H77" s="2"/>
      <c r="I77" t="str">
        <f>OfficeForms.Table[[#This Row],[Gruppe Blau]]&amp;OfficeForms.Table[[#This Row],[Gruppe Grün]]</f>
        <v>Giraffe blau</v>
      </c>
      <c r="J77" s="2" t="s">
        <v>13</v>
      </c>
      <c r="N77">
        <v>126</v>
      </c>
      <c r="O77" s="2"/>
      <c r="P77" s="4"/>
      <c r="Q77" s="2"/>
      <c r="R77" s="2"/>
      <c r="S77" s="4"/>
    </row>
    <row r="78" spans="1:19">
      <c r="A78">
        <v>119</v>
      </c>
      <c r="B78" s="1">
        <v>45468.391875000001</v>
      </c>
      <c r="C78" s="1">
        <v>45468.403877314799</v>
      </c>
      <c r="D78" s="2" t="s">
        <v>19</v>
      </c>
      <c r="E78" s="2"/>
      <c r="F78" s="2" t="s">
        <v>22</v>
      </c>
      <c r="G78" s="2"/>
      <c r="H78" s="2" t="s">
        <v>49</v>
      </c>
      <c r="I78" t="str">
        <f>OfficeForms.Table[[#This Row],[Gruppe Blau]]&amp;OfficeForms.Table[[#This Row],[Gruppe Grün]]</f>
        <v>Igel grün</v>
      </c>
      <c r="J78" s="2" t="s">
        <v>13</v>
      </c>
      <c r="N78">
        <v>67</v>
      </c>
      <c r="O78" s="2"/>
      <c r="P78" s="4"/>
      <c r="Q78" s="2"/>
      <c r="R78" s="2"/>
      <c r="S78" s="4"/>
    </row>
    <row r="79" spans="1:19">
      <c r="A79">
        <v>120</v>
      </c>
      <c r="B79" s="1">
        <v>45468.403923611098</v>
      </c>
      <c r="C79" s="1">
        <v>45468.404062499998</v>
      </c>
      <c r="D79" s="2" t="s">
        <v>19</v>
      </c>
      <c r="E79" s="2"/>
      <c r="F79" s="2" t="s">
        <v>20</v>
      </c>
      <c r="G79" s="2" t="s">
        <v>32</v>
      </c>
      <c r="H79" s="2"/>
      <c r="I79" t="str">
        <f>OfficeForms.Table[[#This Row],[Gruppe Blau]]&amp;OfficeForms.Table[[#This Row],[Gruppe Grün]]</f>
        <v>Igel blau</v>
      </c>
      <c r="J79" s="2" t="s">
        <v>13</v>
      </c>
      <c r="N79">
        <v>67</v>
      </c>
      <c r="O79" s="2"/>
      <c r="P79" s="4"/>
      <c r="Q79" s="2"/>
      <c r="R79" s="2"/>
      <c r="S79" s="4"/>
    </row>
    <row r="80" spans="1:19">
      <c r="A80">
        <v>190</v>
      </c>
      <c r="B80" s="1">
        <v>45468.441342592603</v>
      </c>
      <c r="C80" s="1">
        <v>45468.447523148097</v>
      </c>
      <c r="D80" s="2" t="s">
        <v>19</v>
      </c>
      <c r="E80" s="2"/>
      <c r="F80" s="2" t="s">
        <v>22</v>
      </c>
      <c r="G80" s="2"/>
      <c r="H80" s="2" t="s">
        <v>52</v>
      </c>
      <c r="I80" t="str">
        <f>OfficeForms.Table[[#This Row],[Gruppe Blau]]&amp;OfficeForms.Table[[#This Row],[Gruppe Grün]]</f>
        <v>Katze grün</v>
      </c>
      <c r="J80" s="2" t="s">
        <v>13</v>
      </c>
      <c r="N80">
        <v>37</v>
      </c>
      <c r="O80" s="2"/>
      <c r="P80" s="4"/>
      <c r="Q80" s="2"/>
      <c r="R80" s="2"/>
      <c r="S80" s="4"/>
    </row>
    <row r="81" spans="1:19">
      <c r="A81">
        <v>191</v>
      </c>
      <c r="B81" s="1">
        <v>45468.447534722203</v>
      </c>
      <c r="C81" s="1">
        <v>45468.4476967593</v>
      </c>
      <c r="D81" s="2" t="s">
        <v>19</v>
      </c>
      <c r="E81" s="2"/>
      <c r="F81" s="2" t="s">
        <v>20</v>
      </c>
      <c r="G81" s="2" t="s">
        <v>37</v>
      </c>
      <c r="H81" s="2"/>
      <c r="I81" t="str">
        <f>OfficeForms.Table[[#This Row],[Gruppe Blau]]&amp;OfficeForms.Table[[#This Row],[Gruppe Grün]]</f>
        <v>Katze blau</v>
      </c>
      <c r="J81" s="2" t="s">
        <v>13</v>
      </c>
      <c r="N81">
        <v>92</v>
      </c>
      <c r="O81" s="2"/>
      <c r="P81" s="4"/>
      <c r="Q81" s="2"/>
      <c r="R81" s="2"/>
      <c r="S81" s="4"/>
    </row>
    <row r="82" spans="1:19">
      <c r="A82">
        <v>62</v>
      </c>
      <c r="B82" s="1">
        <v>45468.3664236111</v>
      </c>
      <c r="C82" s="1">
        <v>45468.371296296304</v>
      </c>
      <c r="D82" s="2" t="s">
        <v>19</v>
      </c>
      <c r="E82" s="2"/>
      <c r="F82" s="2" t="s">
        <v>22</v>
      </c>
      <c r="G82" s="2"/>
      <c r="H82" s="2" t="s">
        <v>23</v>
      </c>
      <c r="I82" t="str">
        <f>OfficeForms.Table[[#This Row],[Gruppe Blau]]&amp;OfficeForms.Table[[#This Row],[Gruppe Grün]]</f>
        <v>Krebs grün</v>
      </c>
      <c r="J82" s="2" t="s">
        <v>13</v>
      </c>
      <c r="N82">
        <v>17</v>
      </c>
      <c r="O82" s="2"/>
      <c r="P82" s="4"/>
      <c r="Q82" s="2"/>
      <c r="R82" s="2"/>
      <c r="S82" s="4"/>
    </row>
    <row r="83" spans="1:19">
      <c r="A83">
        <v>63</v>
      </c>
      <c r="B83" s="1">
        <v>45468.371319444399</v>
      </c>
      <c r="C83" s="1">
        <v>45468.371504629598</v>
      </c>
      <c r="D83" s="2" t="s">
        <v>19</v>
      </c>
      <c r="E83" s="2"/>
      <c r="F83" s="2" t="s">
        <v>20</v>
      </c>
      <c r="G83" s="2" t="s">
        <v>26</v>
      </c>
      <c r="H83" s="2"/>
      <c r="I83" t="str">
        <f>OfficeForms.Table[[#This Row],[Gruppe Blau]]&amp;OfficeForms.Table[[#This Row],[Gruppe Grün]]</f>
        <v>Krebs blau</v>
      </c>
      <c r="J83" s="2" t="s">
        <v>13</v>
      </c>
      <c r="N83">
        <v>115</v>
      </c>
      <c r="O83" s="2"/>
      <c r="P83" s="4"/>
      <c r="Q83" s="2"/>
      <c r="R83" s="2"/>
      <c r="S83" s="4"/>
    </row>
    <row r="84" spans="1:19">
      <c r="A84">
        <v>256</v>
      </c>
      <c r="B84" s="1">
        <v>45468.480011574102</v>
      </c>
      <c r="C84" s="1">
        <v>45468.484953703701</v>
      </c>
      <c r="D84" s="2" t="s">
        <v>19</v>
      </c>
      <c r="E84" s="2"/>
      <c r="F84" s="2" t="s">
        <v>22</v>
      </c>
      <c r="G84" s="2"/>
      <c r="H84" s="2" t="s">
        <v>38</v>
      </c>
      <c r="I84" t="str">
        <f>OfficeForms.Table[[#This Row],[Gruppe Blau]]&amp;OfficeForms.Table[[#This Row],[Gruppe Grün]]</f>
        <v>Nilpferd grün</v>
      </c>
      <c r="J84" s="2" t="s">
        <v>13</v>
      </c>
      <c r="N84">
        <v>109</v>
      </c>
      <c r="O84" s="2"/>
      <c r="P84" s="4"/>
      <c r="Q84" s="2"/>
      <c r="R84" s="2"/>
      <c r="S84" s="4"/>
    </row>
    <row r="85" spans="1:19">
      <c r="A85">
        <v>257</v>
      </c>
      <c r="B85" s="1">
        <v>45468.484965277799</v>
      </c>
      <c r="C85" s="1">
        <v>45468.4851851852</v>
      </c>
      <c r="D85" s="2" t="s">
        <v>19</v>
      </c>
      <c r="E85" s="2"/>
      <c r="F85" s="2" t="s">
        <v>20</v>
      </c>
      <c r="G85" s="2" t="s">
        <v>41</v>
      </c>
      <c r="H85" s="2"/>
      <c r="I85" t="str">
        <f>OfficeForms.Table[[#This Row],[Gruppe Blau]]&amp;OfficeForms.Table[[#This Row],[Gruppe Grün]]</f>
        <v>Nilpferd blau</v>
      </c>
      <c r="J85" s="2" t="s">
        <v>13</v>
      </c>
      <c r="N85">
        <v>104</v>
      </c>
      <c r="O85" s="2"/>
      <c r="P85" s="4"/>
      <c r="Q85" s="2"/>
      <c r="R85" s="2"/>
      <c r="S85" s="4"/>
    </row>
    <row r="86" spans="1:19">
      <c r="A86">
        <v>247</v>
      </c>
      <c r="B86" s="1">
        <v>45468.471793981502</v>
      </c>
      <c r="C86" s="1">
        <v>45468.479699074102</v>
      </c>
      <c r="D86" s="2" t="s">
        <v>19</v>
      </c>
      <c r="E86" s="2"/>
      <c r="F86" s="2" t="s">
        <v>22</v>
      </c>
      <c r="G86" s="2"/>
      <c r="H86" s="2" t="s">
        <v>50</v>
      </c>
      <c r="I86" t="str">
        <f>OfficeForms.Table[[#This Row],[Gruppe Blau]]&amp;OfficeForms.Table[[#This Row],[Gruppe Grün]]</f>
        <v>Panda grün</v>
      </c>
      <c r="J86" s="2" t="s">
        <v>13</v>
      </c>
      <c r="N86">
        <v>78</v>
      </c>
      <c r="O86" s="2"/>
      <c r="P86" s="4"/>
      <c r="Q86" s="2"/>
      <c r="R86" s="2"/>
      <c r="S86" s="4"/>
    </row>
    <row r="87" spans="1:19">
      <c r="A87">
        <v>248</v>
      </c>
      <c r="B87" s="1">
        <v>45468.479756944398</v>
      </c>
      <c r="C87" s="1">
        <v>45468.480000000003</v>
      </c>
      <c r="D87" s="2" t="s">
        <v>19</v>
      </c>
      <c r="E87" s="2"/>
      <c r="F87" s="2" t="s">
        <v>20</v>
      </c>
      <c r="G87" s="2" t="s">
        <v>27</v>
      </c>
      <c r="H87" s="2"/>
      <c r="I87" t="str">
        <f>OfficeForms.Table[[#This Row],[Gruppe Blau]]&amp;OfficeForms.Table[[#This Row],[Gruppe Grün]]</f>
        <v>Panda blau</v>
      </c>
      <c r="J87" s="2" t="s">
        <v>13</v>
      </c>
      <c r="N87">
        <v>21</v>
      </c>
      <c r="O87" s="2"/>
      <c r="P87" s="4"/>
      <c r="Q87" s="2"/>
      <c r="R87" s="2"/>
      <c r="S87" s="4"/>
    </row>
    <row r="88" spans="1:19">
      <c r="A88">
        <v>43</v>
      </c>
      <c r="B88" s="1">
        <v>45468.3604513889</v>
      </c>
      <c r="C88" s="1">
        <v>45468.363391203697</v>
      </c>
      <c r="D88" s="2" t="s">
        <v>19</v>
      </c>
      <c r="E88" s="2"/>
      <c r="F88" s="2" t="s">
        <v>22</v>
      </c>
      <c r="G88" s="2"/>
      <c r="H88" s="2" t="s">
        <v>29</v>
      </c>
      <c r="I88" t="str">
        <f>OfficeForms.Table[[#This Row],[Gruppe Blau]]&amp;OfficeForms.Table[[#This Row],[Gruppe Grün]]</f>
        <v>Schaf grün</v>
      </c>
      <c r="J88" s="2" t="s">
        <v>13</v>
      </c>
      <c r="N88">
        <v>80</v>
      </c>
      <c r="O88" s="2"/>
      <c r="P88" s="4"/>
      <c r="Q88" s="2"/>
      <c r="R88" s="2"/>
      <c r="S88" s="4"/>
    </row>
    <row r="89" spans="1:19">
      <c r="A89">
        <v>45</v>
      </c>
      <c r="B89" s="1">
        <v>45468.363541666702</v>
      </c>
      <c r="C89" s="1">
        <v>45468.363749999997</v>
      </c>
      <c r="D89" s="2" t="s">
        <v>19</v>
      </c>
      <c r="E89" s="2"/>
      <c r="F89" s="2" t="s">
        <v>20</v>
      </c>
      <c r="G89" s="2" t="s">
        <v>42</v>
      </c>
      <c r="H89" s="2"/>
      <c r="I89" t="str">
        <f>OfficeForms.Table[[#This Row],[Gruppe Blau]]&amp;OfficeForms.Table[[#This Row],[Gruppe Grün]]</f>
        <v>Schaf blau</v>
      </c>
      <c r="J89" s="2" t="s">
        <v>13</v>
      </c>
      <c r="N89">
        <v>95</v>
      </c>
      <c r="O89" s="2"/>
      <c r="P89" s="4"/>
      <c r="Q89" s="2"/>
      <c r="R89" s="2"/>
      <c r="S89" s="4"/>
    </row>
    <row r="90" spans="1:19">
      <c r="A90">
        <v>67</v>
      </c>
      <c r="B90" s="1">
        <v>45468.372222222199</v>
      </c>
      <c r="C90" s="1">
        <v>45468.3763078704</v>
      </c>
      <c r="D90" s="2" t="s">
        <v>19</v>
      </c>
      <c r="E90" s="2"/>
      <c r="F90" s="2" t="s">
        <v>22</v>
      </c>
      <c r="G90" s="2"/>
      <c r="H90" s="2" t="s">
        <v>30</v>
      </c>
      <c r="I90" t="str">
        <f>OfficeForms.Table[[#This Row],[Gruppe Blau]]&amp;OfficeForms.Table[[#This Row],[Gruppe Grün]]</f>
        <v>Schildkröte grün</v>
      </c>
      <c r="J90" s="2" t="s">
        <v>13</v>
      </c>
      <c r="N90">
        <v>118</v>
      </c>
      <c r="O90" s="2"/>
      <c r="P90" s="4"/>
      <c r="Q90" s="2"/>
      <c r="R90" s="2"/>
      <c r="S90" s="4"/>
    </row>
    <row r="91" spans="1:19">
      <c r="A91">
        <v>68</v>
      </c>
      <c r="B91" s="1">
        <v>45468.376342592601</v>
      </c>
      <c r="C91" s="1">
        <v>45468.376493055599</v>
      </c>
      <c r="D91" s="2" t="s">
        <v>19</v>
      </c>
      <c r="E91" s="2"/>
      <c r="F91" s="2" t="s">
        <v>20</v>
      </c>
      <c r="G91" s="2" t="s">
        <v>43</v>
      </c>
      <c r="H91" s="2"/>
      <c r="I91" t="str">
        <f>OfficeForms.Table[[#This Row],[Gruppe Blau]]&amp;OfficeForms.Table[[#This Row],[Gruppe Grün]]</f>
        <v>Schildkröte blau</v>
      </c>
      <c r="J91" s="2" t="s">
        <v>13</v>
      </c>
      <c r="N91">
        <v>129</v>
      </c>
      <c r="O91" s="2"/>
      <c r="P91" s="4"/>
      <c r="Q91" s="2"/>
      <c r="R91" s="2"/>
      <c r="S91" s="4"/>
    </row>
    <row r="92" spans="1:19">
      <c r="A92">
        <v>179</v>
      </c>
      <c r="B92" s="1">
        <v>45468.4347569444</v>
      </c>
      <c r="C92" s="1">
        <v>45468.441122685203</v>
      </c>
      <c r="D92" s="2" t="s">
        <v>19</v>
      </c>
      <c r="E92" s="2"/>
      <c r="F92" s="2" t="s">
        <v>22</v>
      </c>
      <c r="G92" s="2"/>
      <c r="H92" s="2" t="s">
        <v>51</v>
      </c>
      <c r="I92" t="str">
        <f>OfficeForms.Table[[#This Row],[Gruppe Blau]]&amp;OfficeForms.Table[[#This Row],[Gruppe Grün]]</f>
        <v>Schlange grün</v>
      </c>
      <c r="J92" s="2" t="s">
        <v>13</v>
      </c>
      <c r="N92">
        <v>125</v>
      </c>
      <c r="O92" s="2"/>
      <c r="P92" s="4"/>
      <c r="Q92" s="2"/>
      <c r="R92" s="2"/>
      <c r="S92" s="4"/>
    </row>
    <row r="93" spans="1:19">
      <c r="A93">
        <v>180</v>
      </c>
      <c r="B93" s="1">
        <v>45468.441145833298</v>
      </c>
      <c r="C93" s="1">
        <v>45468.441319444399</v>
      </c>
      <c r="D93" s="2" t="s">
        <v>19</v>
      </c>
      <c r="E93" s="2"/>
      <c r="F93" s="2" t="s">
        <v>20</v>
      </c>
      <c r="G93" s="2" t="s">
        <v>39</v>
      </c>
      <c r="H93" s="2"/>
      <c r="I93" t="str">
        <f>OfficeForms.Table[[#This Row],[Gruppe Blau]]&amp;OfficeForms.Table[[#This Row],[Gruppe Grün]]</f>
        <v>Schlange blau</v>
      </c>
      <c r="J93" s="2" t="s">
        <v>13</v>
      </c>
      <c r="N93">
        <v>113</v>
      </c>
      <c r="O93" s="2"/>
      <c r="P93" s="4"/>
      <c r="Q93" s="2"/>
      <c r="R93" s="2"/>
      <c r="S93" s="4"/>
    </row>
    <row r="94" spans="1:19">
      <c r="A94">
        <v>230</v>
      </c>
      <c r="B94" s="1">
        <v>45468.466597222199</v>
      </c>
      <c r="C94" s="1">
        <v>45468.471574074101</v>
      </c>
      <c r="D94" s="2" t="s">
        <v>19</v>
      </c>
      <c r="E94" s="2"/>
      <c r="F94" s="2" t="s">
        <v>22</v>
      </c>
      <c r="G94" s="2"/>
      <c r="H94" s="2" t="s">
        <v>44</v>
      </c>
      <c r="I94" t="str">
        <f>OfficeForms.Table[[#This Row],[Gruppe Blau]]&amp;OfficeForms.Table[[#This Row],[Gruppe Grün]]</f>
        <v>Schmetterling grün</v>
      </c>
      <c r="J94" s="2" t="s">
        <v>13</v>
      </c>
      <c r="N94">
        <v>115</v>
      </c>
      <c r="O94" s="2"/>
      <c r="P94" s="4"/>
      <c r="Q94" s="2"/>
      <c r="R94" s="2"/>
      <c r="S94" s="4"/>
    </row>
    <row r="95" spans="1:19">
      <c r="A95">
        <v>231</v>
      </c>
      <c r="B95" s="1">
        <v>45468.471608796302</v>
      </c>
      <c r="C95" s="1">
        <v>45468.471759259301</v>
      </c>
      <c r="D95" s="2" t="s">
        <v>19</v>
      </c>
      <c r="E95" s="2"/>
      <c r="F95" s="2" t="s">
        <v>20</v>
      </c>
      <c r="G95" s="2" t="s">
        <v>40</v>
      </c>
      <c r="H95" s="2"/>
      <c r="I95" t="str">
        <f>OfficeForms.Table[[#This Row],[Gruppe Blau]]&amp;OfficeForms.Table[[#This Row],[Gruppe Grün]]</f>
        <v>Schmetterling blau</v>
      </c>
      <c r="J95" s="2" t="s">
        <v>13</v>
      </c>
      <c r="N95">
        <v>86</v>
      </c>
      <c r="O95" s="2"/>
      <c r="P95" s="4"/>
      <c r="Q95" s="2"/>
      <c r="R95" s="2"/>
      <c r="S95" s="4"/>
    </row>
    <row r="96" spans="1:19">
      <c r="A96">
        <v>217</v>
      </c>
      <c r="B96" s="1">
        <v>45468.452835648102</v>
      </c>
      <c r="C96" s="1">
        <v>45468.466273148202</v>
      </c>
      <c r="D96" s="2" t="s">
        <v>19</v>
      </c>
      <c r="E96" s="2"/>
      <c r="F96" s="2" t="s">
        <v>22</v>
      </c>
      <c r="G96" s="2"/>
      <c r="H96" s="2" t="s">
        <v>35</v>
      </c>
      <c r="I96" t="str">
        <f>OfficeForms.Table[[#This Row],[Gruppe Blau]]&amp;OfficeForms.Table[[#This Row],[Gruppe Grün]]</f>
        <v>Tiger grün</v>
      </c>
      <c r="J96" s="2" t="s">
        <v>13</v>
      </c>
      <c r="N96">
        <v>68</v>
      </c>
      <c r="O96" s="2"/>
      <c r="P96" s="4"/>
      <c r="Q96" s="2"/>
      <c r="R96" s="2"/>
      <c r="S96" s="4"/>
    </row>
    <row r="97" spans="1:19">
      <c r="A97">
        <v>218</v>
      </c>
      <c r="B97" s="1">
        <v>45468.466284722199</v>
      </c>
      <c r="C97" s="1">
        <v>45468.466516203698</v>
      </c>
      <c r="D97" s="2" t="s">
        <v>19</v>
      </c>
      <c r="E97" s="2"/>
      <c r="F97" s="2" t="s">
        <v>20</v>
      </c>
      <c r="G97" s="2" t="s">
        <v>45</v>
      </c>
      <c r="H97" s="2"/>
      <c r="I97" t="str">
        <f>OfficeForms.Table[[#This Row],[Gruppe Blau]]&amp;OfficeForms.Table[[#This Row],[Gruppe Grün]]</f>
        <v>Tiger blau</v>
      </c>
      <c r="J97" s="2" t="s">
        <v>13</v>
      </c>
      <c r="N97">
        <v>89</v>
      </c>
      <c r="O97" s="2"/>
      <c r="P97" s="4"/>
      <c r="Q97" s="2"/>
      <c r="R97" s="2"/>
      <c r="S97" s="4"/>
    </row>
    <row r="98" spans="1:19">
      <c r="A98">
        <v>93</v>
      </c>
      <c r="B98" s="1">
        <v>45468.378912036998</v>
      </c>
      <c r="C98" s="1">
        <v>45468.389745370398</v>
      </c>
      <c r="D98" s="2" t="s">
        <v>19</v>
      </c>
      <c r="E98" s="2"/>
      <c r="F98" s="2" t="s">
        <v>20</v>
      </c>
      <c r="G98" s="2" t="s">
        <v>36</v>
      </c>
      <c r="H98" s="2"/>
      <c r="I98" t="str">
        <f>OfficeForms.Table[[#This Row],[Gruppe Blau]]&amp;OfficeForms.Table[[#This Row],[Gruppe Grün]]</f>
        <v>Affe blau</v>
      </c>
      <c r="J98" s="2" t="s">
        <v>11</v>
      </c>
      <c r="L98">
        <v>2.4700000000000002</v>
      </c>
      <c r="O98" s="2"/>
      <c r="P98" s="4"/>
      <c r="Q98" s="2"/>
      <c r="R98" s="2"/>
      <c r="S98" s="4"/>
    </row>
    <row r="99" spans="1:19">
      <c r="A99">
        <v>94</v>
      </c>
      <c r="B99" s="1">
        <v>45468.389895833301</v>
      </c>
      <c r="C99" s="1">
        <v>45468.390231481499</v>
      </c>
      <c r="D99" s="2" t="s">
        <v>19</v>
      </c>
      <c r="E99" s="2"/>
      <c r="F99" s="2" t="s">
        <v>22</v>
      </c>
      <c r="G99" s="2"/>
      <c r="H99" s="2" t="s">
        <v>28</v>
      </c>
      <c r="I99" t="str">
        <f>OfficeForms.Table[[#This Row],[Gruppe Blau]]&amp;OfficeForms.Table[[#This Row],[Gruppe Grün]]</f>
        <v>Affe grün</v>
      </c>
      <c r="J99" s="2" t="s">
        <v>11</v>
      </c>
      <c r="L99">
        <v>2.3199999999999998</v>
      </c>
      <c r="O99" s="2"/>
      <c r="P99" s="4"/>
      <c r="Q99" s="2"/>
      <c r="R99" s="2"/>
      <c r="S99" s="4"/>
    </row>
    <row r="100" spans="1:19">
      <c r="A100">
        <v>250</v>
      </c>
      <c r="B100" s="1">
        <v>45468.473391203697</v>
      </c>
      <c r="C100" s="1">
        <v>45468.481666666703</v>
      </c>
      <c r="D100" s="2" t="s">
        <v>19</v>
      </c>
      <c r="E100" s="2"/>
      <c r="F100" s="2" t="s">
        <v>20</v>
      </c>
      <c r="G100" s="2" t="s">
        <v>47</v>
      </c>
      <c r="H100" s="2"/>
      <c r="I100" t="str">
        <f>OfficeForms.Table[[#This Row],[Gruppe Blau]]&amp;OfficeForms.Table[[#This Row],[Gruppe Grün]]</f>
        <v>Delfin blau</v>
      </c>
      <c r="J100" s="2" t="s">
        <v>11</v>
      </c>
      <c r="L100">
        <v>3.33</v>
      </c>
      <c r="O100" s="2"/>
      <c r="P100" s="4"/>
      <c r="Q100" s="2"/>
      <c r="R100" s="2"/>
      <c r="S100" s="4"/>
    </row>
    <row r="101" spans="1:19">
      <c r="A101">
        <v>249</v>
      </c>
      <c r="B101" s="1">
        <v>45468.4813194444</v>
      </c>
      <c r="C101" s="1">
        <v>45468.481597222199</v>
      </c>
      <c r="D101" s="2" t="s">
        <v>19</v>
      </c>
      <c r="E101" s="2"/>
      <c r="F101" s="2" t="s">
        <v>22</v>
      </c>
      <c r="G101" s="2"/>
      <c r="H101" s="2" t="s">
        <v>33</v>
      </c>
      <c r="I101" t="str">
        <f>OfficeForms.Table[[#This Row],[Gruppe Blau]]&amp;OfficeForms.Table[[#This Row],[Gruppe Grün]]</f>
        <v>Delfin grün</v>
      </c>
      <c r="J101" s="2" t="s">
        <v>11</v>
      </c>
      <c r="L101">
        <v>3.1</v>
      </c>
      <c r="O101" s="2"/>
      <c r="P101" s="4"/>
      <c r="Q101" s="2"/>
      <c r="R101" s="2"/>
      <c r="S101" s="4"/>
    </row>
    <row r="102" spans="1:19">
      <c r="A102">
        <v>221</v>
      </c>
      <c r="B102" s="1">
        <v>45468.456574074102</v>
      </c>
      <c r="C102" s="1">
        <v>45468.467314814799</v>
      </c>
      <c r="D102" s="2" t="s">
        <v>19</v>
      </c>
      <c r="E102" s="2"/>
      <c r="F102" s="2" t="s">
        <v>22</v>
      </c>
      <c r="G102" s="2"/>
      <c r="H102" s="2" t="s">
        <v>34</v>
      </c>
      <c r="I102" t="str">
        <f>OfficeForms.Table[[#This Row],[Gruppe Blau]]&amp;OfficeForms.Table[[#This Row],[Gruppe Grün]]</f>
        <v>Elefant grün</v>
      </c>
      <c r="J102" s="2" t="s">
        <v>11</v>
      </c>
      <c r="L102">
        <v>3.05</v>
      </c>
      <c r="O102" s="2"/>
      <c r="P102" s="4"/>
      <c r="Q102" s="2"/>
      <c r="R102" s="2"/>
      <c r="S102" s="4"/>
    </row>
    <row r="103" spans="1:19">
      <c r="A103">
        <v>222</v>
      </c>
      <c r="B103" s="1">
        <v>45468.456539351901</v>
      </c>
      <c r="C103" s="1">
        <v>45468.4674421296</v>
      </c>
      <c r="D103" s="2" t="s">
        <v>19</v>
      </c>
      <c r="E103" s="2"/>
      <c r="F103" s="2" t="s">
        <v>20</v>
      </c>
      <c r="G103" s="2" t="s">
        <v>48</v>
      </c>
      <c r="H103" s="2"/>
      <c r="I103" t="str">
        <f>OfficeForms.Table[[#This Row],[Gruppe Blau]]&amp;OfficeForms.Table[[#This Row],[Gruppe Grün]]</f>
        <v>Elefant blau</v>
      </c>
      <c r="J103" s="2" t="s">
        <v>11</v>
      </c>
      <c r="L103">
        <v>3.04</v>
      </c>
      <c r="O103" s="2"/>
      <c r="P103" s="4"/>
      <c r="Q103" s="2"/>
      <c r="R103" s="2"/>
      <c r="S103" s="4"/>
    </row>
    <row r="104" spans="1:19">
      <c r="A104">
        <v>187</v>
      </c>
      <c r="B104" s="1">
        <v>45468.411388888897</v>
      </c>
      <c r="C104" s="1">
        <v>45468.443819444401</v>
      </c>
      <c r="D104" s="2" t="s">
        <v>19</v>
      </c>
      <c r="E104" s="2"/>
      <c r="F104" s="2" t="s">
        <v>22</v>
      </c>
      <c r="G104" s="2"/>
      <c r="H104" s="2" t="s">
        <v>24</v>
      </c>
      <c r="I104" t="str">
        <f>OfficeForms.Table[[#This Row],[Gruppe Blau]]&amp;OfficeForms.Table[[#This Row],[Gruppe Grün]]</f>
        <v>Eule grün</v>
      </c>
      <c r="J104" s="2" t="s">
        <v>11</v>
      </c>
      <c r="L104">
        <v>4.47</v>
      </c>
      <c r="O104" s="2"/>
      <c r="P104" s="4"/>
      <c r="Q104" s="2"/>
      <c r="R104" s="2"/>
      <c r="S104" s="4"/>
    </row>
    <row r="105" spans="1:19">
      <c r="A105">
        <v>182</v>
      </c>
      <c r="B105" s="1">
        <v>45468.439525463</v>
      </c>
      <c r="C105" s="1">
        <v>45468.442048611098</v>
      </c>
      <c r="D105" s="2" t="s">
        <v>19</v>
      </c>
      <c r="E105" s="2"/>
      <c r="F105" s="2" t="s">
        <v>20</v>
      </c>
      <c r="G105" s="2" t="s">
        <v>46</v>
      </c>
      <c r="H105" s="2"/>
      <c r="I105" t="str">
        <f>OfficeForms.Table[[#This Row],[Gruppe Blau]]&amp;OfficeForms.Table[[#This Row],[Gruppe Grün]]</f>
        <v>Eule blau</v>
      </c>
      <c r="J105" s="2" t="s">
        <v>11</v>
      </c>
      <c r="L105">
        <v>3.05</v>
      </c>
      <c r="O105" s="2"/>
      <c r="P105" s="4"/>
      <c r="Q105" s="2"/>
      <c r="R105" s="2"/>
      <c r="S105" s="4"/>
    </row>
    <row r="106" spans="1:19">
      <c r="A106">
        <v>169</v>
      </c>
      <c r="B106" s="1">
        <v>45468.438738425903</v>
      </c>
      <c r="C106" s="1">
        <v>45468.439039351899</v>
      </c>
      <c r="D106" s="2" t="s">
        <v>19</v>
      </c>
      <c r="E106" s="2"/>
      <c r="F106" s="2" t="s">
        <v>22</v>
      </c>
      <c r="G106" s="2"/>
      <c r="H106" s="2" t="s">
        <v>25</v>
      </c>
      <c r="I106" t="str">
        <f>OfficeForms.Table[[#This Row],[Gruppe Blau]]&amp;OfficeForms.Table[[#This Row],[Gruppe Grün]]</f>
        <v>Fuchs grün</v>
      </c>
      <c r="J106" s="2" t="s">
        <v>11</v>
      </c>
      <c r="L106">
        <v>4.04</v>
      </c>
      <c r="O106" s="2"/>
      <c r="P106" s="4"/>
      <c r="Q106" s="2"/>
      <c r="R106" s="2"/>
      <c r="S106" s="4"/>
    </row>
    <row r="107" spans="1:19">
      <c r="A107">
        <v>212</v>
      </c>
      <c r="B107" s="1">
        <v>45468.449560185203</v>
      </c>
      <c r="C107" s="1">
        <v>45468.456469907404</v>
      </c>
      <c r="D107" s="2" t="s">
        <v>19</v>
      </c>
      <c r="E107" s="2"/>
      <c r="F107" s="2" t="s">
        <v>22</v>
      </c>
      <c r="G107" s="2"/>
      <c r="H107" s="2" t="s">
        <v>31</v>
      </c>
      <c r="I107" t="str">
        <f>OfficeForms.Table[[#This Row],[Gruppe Blau]]&amp;OfficeForms.Table[[#This Row],[Gruppe Grün]]</f>
        <v>Giraffe grün</v>
      </c>
      <c r="J107" s="2" t="s">
        <v>11</v>
      </c>
      <c r="L107">
        <v>3.44</v>
      </c>
      <c r="O107" s="2"/>
      <c r="P107" s="4"/>
      <c r="Q107" s="2"/>
      <c r="R107" s="2"/>
      <c r="S107" s="4"/>
    </row>
    <row r="108" spans="1:19">
      <c r="A108">
        <v>210</v>
      </c>
      <c r="B108" s="1">
        <v>45468.455625000002</v>
      </c>
      <c r="C108" s="1">
        <v>45468.4561805556</v>
      </c>
      <c r="D108" s="2" t="s">
        <v>19</v>
      </c>
      <c r="E108" s="2"/>
      <c r="F108" s="2" t="s">
        <v>20</v>
      </c>
      <c r="G108" s="2" t="s">
        <v>21</v>
      </c>
      <c r="H108" s="2"/>
      <c r="I108" t="str">
        <f>OfficeForms.Table[[#This Row],[Gruppe Blau]]&amp;OfficeForms.Table[[#This Row],[Gruppe Grün]]</f>
        <v>Giraffe blau</v>
      </c>
      <c r="J108" s="2" t="s">
        <v>11</v>
      </c>
      <c r="L108">
        <v>3.24</v>
      </c>
      <c r="O108" s="2"/>
      <c r="P108" s="4"/>
      <c r="Q108" s="2"/>
      <c r="R108" s="2"/>
      <c r="S108" s="4"/>
    </row>
    <row r="109" spans="1:19">
      <c r="A109">
        <v>193</v>
      </c>
      <c r="B109" s="1">
        <v>45468.443865740701</v>
      </c>
      <c r="C109" s="1">
        <v>45468.449525463002</v>
      </c>
      <c r="D109" s="2" t="s">
        <v>19</v>
      </c>
      <c r="E109" s="2"/>
      <c r="F109" s="2" t="s">
        <v>22</v>
      </c>
      <c r="G109" s="2"/>
      <c r="H109" s="2" t="s">
        <v>49</v>
      </c>
      <c r="I109" t="str">
        <f>OfficeForms.Table[[#This Row],[Gruppe Blau]]&amp;OfficeForms.Table[[#This Row],[Gruppe Grün]]</f>
        <v>Igel grün</v>
      </c>
      <c r="J109" s="2" t="s">
        <v>11</v>
      </c>
      <c r="L109">
        <v>3.03</v>
      </c>
      <c r="O109" s="2"/>
      <c r="P109" s="4"/>
      <c r="Q109" s="2"/>
      <c r="R109" s="2"/>
      <c r="S109" s="4"/>
    </row>
    <row r="110" spans="1:19">
      <c r="A110">
        <v>192</v>
      </c>
      <c r="B110" s="1">
        <v>45468.449247685203</v>
      </c>
      <c r="C110" s="1">
        <v>45468.449502314797</v>
      </c>
      <c r="D110" s="2" t="s">
        <v>19</v>
      </c>
      <c r="E110" s="2"/>
      <c r="F110" s="2" t="s">
        <v>20</v>
      </c>
      <c r="G110" s="2" t="s">
        <v>32</v>
      </c>
      <c r="H110" s="2"/>
      <c r="I110" t="str">
        <f>OfficeForms.Table[[#This Row],[Gruppe Blau]]&amp;OfficeForms.Table[[#This Row],[Gruppe Grün]]</f>
        <v>Igel blau</v>
      </c>
      <c r="J110" s="2" t="s">
        <v>11</v>
      </c>
      <c r="L110">
        <v>2.59</v>
      </c>
      <c r="O110" s="2"/>
      <c r="P110" s="4"/>
      <c r="Q110" s="2"/>
      <c r="R110" s="2"/>
      <c r="S110" s="4"/>
    </row>
    <row r="111" spans="1:19">
      <c r="A111">
        <v>260</v>
      </c>
      <c r="B111" s="1">
        <v>45468.481817129599</v>
      </c>
      <c r="C111" s="1">
        <v>45468.487523148098</v>
      </c>
      <c r="D111" s="2" t="s">
        <v>19</v>
      </c>
      <c r="E111" s="2"/>
      <c r="F111" s="2" t="s">
        <v>22</v>
      </c>
      <c r="G111" s="2"/>
      <c r="H111" s="2" t="s">
        <v>52</v>
      </c>
      <c r="I111" t="str">
        <f>OfficeForms.Table[[#This Row],[Gruppe Blau]]&amp;OfficeForms.Table[[#This Row],[Gruppe Grün]]</f>
        <v>Katze grün</v>
      </c>
      <c r="J111" s="2" t="s">
        <v>11</v>
      </c>
      <c r="L111">
        <v>2.58</v>
      </c>
      <c r="O111" s="2"/>
      <c r="P111" s="4"/>
      <c r="Q111" s="2"/>
      <c r="R111" s="2"/>
      <c r="S111" s="4"/>
    </row>
    <row r="112" spans="1:19">
      <c r="A112">
        <v>261</v>
      </c>
      <c r="B112" s="1">
        <v>45468.481701388897</v>
      </c>
      <c r="C112" s="1">
        <v>45468.487627314797</v>
      </c>
      <c r="D112" s="2" t="s">
        <v>19</v>
      </c>
      <c r="E112" s="2"/>
      <c r="F112" s="2" t="s">
        <v>20</v>
      </c>
      <c r="G112" s="2" t="s">
        <v>37</v>
      </c>
      <c r="H112" s="2"/>
      <c r="I112" t="str">
        <f>OfficeForms.Table[[#This Row],[Gruppe Blau]]&amp;OfficeForms.Table[[#This Row],[Gruppe Grün]]</f>
        <v>Katze blau</v>
      </c>
      <c r="J112" s="2" t="s">
        <v>11</v>
      </c>
      <c r="L112">
        <v>3.15</v>
      </c>
      <c r="O112" s="2"/>
      <c r="P112" s="4"/>
      <c r="Q112" s="2"/>
      <c r="R112" s="2"/>
      <c r="S112" s="4"/>
    </row>
    <row r="113" spans="1:19">
      <c r="A113">
        <v>141</v>
      </c>
      <c r="B113" s="1">
        <v>45468.4135185185</v>
      </c>
      <c r="C113" s="1">
        <v>45468.4143287037</v>
      </c>
      <c r="D113" s="2" t="s">
        <v>19</v>
      </c>
      <c r="E113" s="2"/>
      <c r="F113" s="2" t="s">
        <v>22</v>
      </c>
      <c r="G113" s="2"/>
      <c r="H113" s="2" t="s">
        <v>23</v>
      </c>
      <c r="I113" t="str">
        <f>OfficeForms.Table[[#This Row],[Gruppe Blau]]&amp;OfficeForms.Table[[#This Row],[Gruppe Grün]]</f>
        <v>Krebs grün</v>
      </c>
      <c r="J113" s="2" t="s">
        <v>11</v>
      </c>
      <c r="L113">
        <v>3.47</v>
      </c>
      <c r="O113" s="2"/>
      <c r="P113" s="4"/>
      <c r="Q113" s="2"/>
      <c r="R113" s="2"/>
      <c r="S113" s="4"/>
    </row>
    <row r="114" spans="1:19">
      <c r="A114">
        <v>136</v>
      </c>
      <c r="B114" s="1">
        <v>45468.407314814802</v>
      </c>
      <c r="C114" s="1">
        <v>45468.4112731481</v>
      </c>
      <c r="D114" s="2" t="s">
        <v>19</v>
      </c>
      <c r="E114" s="2"/>
      <c r="F114" s="2" t="s">
        <v>20</v>
      </c>
      <c r="G114" s="2" t="s">
        <v>26</v>
      </c>
      <c r="H114" s="2"/>
      <c r="I114" t="str">
        <f>OfficeForms.Table[[#This Row],[Gruppe Blau]]&amp;OfficeForms.Table[[#This Row],[Gruppe Grün]]</f>
        <v>Krebs blau</v>
      </c>
      <c r="J114" s="2" t="s">
        <v>11</v>
      </c>
      <c r="L114">
        <v>3.16</v>
      </c>
      <c r="O114" s="2"/>
      <c r="P114" s="4"/>
      <c r="Q114" s="2"/>
      <c r="R114" s="2"/>
      <c r="S114" s="4"/>
    </row>
    <row r="115" spans="1:19">
      <c r="A115">
        <v>65</v>
      </c>
      <c r="B115" s="1">
        <v>45468.373715277798</v>
      </c>
      <c r="C115" s="1">
        <v>45468.374050925901</v>
      </c>
      <c r="D115" s="2" t="s">
        <v>19</v>
      </c>
      <c r="E115" s="2"/>
      <c r="F115" s="2" t="s">
        <v>22</v>
      </c>
      <c r="G115" s="2"/>
      <c r="H115" s="2" t="s">
        <v>38</v>
      </c>
      <c r="I115" t="str">
        <f>OfficeForms.Table[[#This Row],[Gruppe Blau]]&amp;OfficeForms.Table[[#This Row],[Gruppe Grün]]</f>
        <v>Nilpferd grün</v>
      </c>
      <c r="J115" s="2" t="s">
        <v>11</v>
      </c>
      <c r="L115">
        <v>2.48</v>
      </c>
      <c r="O115" s="2"/>
      <c r="P115" s="4"/>
      <c r="Q115" s="2"/>
      <c r="R115" s="2"/>
      <c r="S115" s="4"/>
    </row>
    <row r="116" spans="1:19">
      <c r="A116">
        <v>66</v>
      </c>
      <c r="B116" s="1">
        <v>45468.374571759297</v>
      </c>
      <c r="C116" s="1">
        <v>45468.374826388899</v>
      </c>
      <c r="D116" s="2" t="s">
        <v>19</v>
      </c>
      <c r="E116" s="2"/>
      <c r="F116" s="2" t="s">
        <v>20</v>
      </c>
      <c r="G116" s="2" t="s">
        <v>41</v>
      </c>
      <c r="H116" s="2"/>
      <c r="I116" t="str">
        <f>OfficeForms.Table[[#This Row],[Gruppe Blau]]&amp;OfficeForms.Table[[#This Row],[Gruppe Grün]]</f>
        <v>Nilpferd blau</v>
      </c>
      <c r="J116" s="2" t="s">
        <v>11</v>
      </c>
      <c r="L116">
        <v>3.03</v>
      </c>
      <c r="O116" s="2"/>
      <c r="P116" s="4"/>
      <c r="Q116" s="2"/>
      <c r="R116" s="2"/>
      <c r="S116" s="4"/>
    </row>
    <row r="117" spans="1:19">
      <c r="A117">
        <v>71</v>
      </c>
      <c r="B117" s="1">
        <v>45468.378148148098</v>
      </c>
      <c r="C117" s="1">
        <v>45468.378587963001</v>
      </c>
      <c r="D117" s="2" t="s">
        <v>19</v>
      </c>
      <c r="E117" s="2"/>
      <c r="F117" s="2" t="s">
        <v>22</v>
      </c>
      <c r="G117" s="2"/>
      <c r="H117" s="2" t="s">
        <v>50</v>
      </c>
      <c r="I117" t="str">
        <f>OfficeForms.Table[[#This Row],[Gruppe Blau]]&amp;OfficeForms.Table[[#This Row],[Gruppe Grün]]</f>
        <v>Panda grün</v>
      </c>
      <c r="J117" s="2" t="s">
        <v>11</v>
      </c>
      <c r="L117">
        <v>2.4500000000000002</v>
      </c>
      <c r="O117" s="2"/>
      <c r="P117" s="4"/>
      <c r="Q117" s="2"/>
      <c r="R117" s="2"/>
      <c r="S117" s="4"/>
    </row>
    <row r="118" spans="1:19">
      <c r="A118">
        <v>73</v>
      </c>
      <c r="B118" s="1">
        <v>45468.378599536998</v>
      </c>
      <c r="C118" s="1">
        <v>45468.378865740699</v>
      </c>
      <c r="D118" s="2" t="s">
        <v>19</v>
      </c>
      <c r="E118" s="2"/>
      <c r="F118" s="2" t="s">
        <v>20</v>
      </c>
      <c r="G118" s="2" t="s">
        <v>27</v>
      </c>
      <c r="H118" s="2"/>
      <c r="I118" t="str">
        <f>OfficeForms.Table[[#This Row],[Gruppe Blau]]&amp;OfficeForms.Table[[#This Row],[Gruppe Grün]]</f>
        <v>Panda blau</v>
      </c>
      <c r="J118" s="2" t="s">
        <v>11</v>
      </c>
      <c r="L118">
        <v>2.59</v>
      </c>
      <c r="O118" s="2"/>
      <c r="P118" s="4"/>
      <c r="Q118" s="2"/>
      <c r="R118" s="2"/>
      <c r="S118" s="4"/>
    </row>
    <row r="119" spans="1:19">
      <c r="A119">
        <v>100</v>
      </c>
      <c r="B119" s="1">
        <v>45468.3930092593</v>
      </c>
      <c r="C119" s="1">
        <v>45468.3933217593</v>
      </c>
      <c r="D119" s="2" t="s">
        <v>19</v>
      </c>
      <c r="E119" s="2"/>
      <c r="F119" s="2" t="s">
        <v>22</v>
      </c>
      <c r="G119" s="2"/>
      <c r="H119" s="2" t="s">
        <v>29</v>
      </c>
      <c r="I119" t="str">
        <f>OfficeForms.Table[[#This Row],[Gruppe Blau]]&amp;OfficeForms.Table[[#This Row],[Gruppe Grün]]</f>
        <v>Schaf grün</v>
      </c>
      <c r="J119" s="2" t="s">
        <v>11</v>
      </c>
      <c r="L119">
        <v>2.5099999999999998</v>
      </c>
      <c r="O119" s="2"/>
      <c r="P119" s="4"/>
      <c r="Q119" s="2"/>
      <c r="R119" s="2"/>
      <c r="S119" s="4"/>
    </row>
    <row r="120" spans="1:19">
      <c r="A120">
        <v>102</v>
      </c>
      <c r="B120" s="1">
        <v>45468.389780092599</v>
      </c>
      <c r="C120" s="1">
        <v>45468.393506944398</v>
      </c>
      <c r="D120" s="2" t="s">
        <v>19</v>
      </c>
      <c r="E120" s="2"/>
      <c r="F120" s="2" t="s">
        <v>20</v>
      </c>
      <c r="G120" s="2" t="s">
        <v>42</v>
      </c>
      <c r="H120" s="2"/>
      <c r="I120" t="str">
        <f>OfficeForms.Table[[#This Row],[Gruppe Blau]]&amp;OfficeForms.Table[[#This Row],[Gruppe Grün]]</f>
        <v>Schaf blau</v>
      </c>
      <c r="J120" s="2" t="s">
        <v>11</v>
      </c>
      <c r="L120">
        <v>3.08</v>
      </c>
      <c r="O120" s="2"/>
      <c r="P120" s="4"/>
      <c r="Q120" s="2"/>
      <c r="R120" s="2"/>
      <c r="S120" s="4"/>
    </row>
    <row r="121" spans="1:19">
      <c r="A121">
        <v>127</v>
      </c>
      <c r="B121" s="1">
        <v>45468.4050810185</v>
      </c>
      <c r="C121" s="1">
        <v>45468.407291666699</v>
      </c>
      <c r="D121" s="2" t="s">
        <v>19</v>
      </c>
      <c r="E121" s="2"/>
      <c r="F121" s="2" t="s">
        <v>22</v>
      </c>
      <c r="G121" s="2"/>
      <c r="H121" s="2" t="s">
        <v>30</v>
      </c>
      <c r="I121" t="str">
        <f>OfficeForms.Table[[#This Row],[Gruppe Blau]]&amp;OfficeForms.Table[[#This Row],[Gruppe Grün]]</f>
        <v>Schildkröte grün</v>
      </c>
      <c r="J121" s="2" t="s">
        <v>11</v>
      </c>
      <c r="L121">
        <v>3.21</v>
      </c>
      <c r="O121" s="2"/>
      <c r="P121" s="4"/>
      <c r="Q121" s="2"/>
      <c r="R121" s="2"/>
      <c r="S121" s="4"/>
    </row>
    <row r="122" spans="1:19">
      <c r="A122">
        <v>126</v>
      </c>
      <c r="B122" s="1">
        <v>45468.393530092602</v>
      </c>
      <c r="C122" s="1">
        <v>45468.407268518502</v>
      </c>
      <c r="D122" s="2" t="s">
        <v>19</v>
      </c>
      <c r="E122" s="2"/>
      <c r="F122" s="2" t="s">
        <v>20</v>
      </c>
      <c r="G122" s="2" t="s">
        <v>43</v>
      </c>
      <c r="H122" s="2"/>
      <c r="I122" t="str">
        <f>OfficeForms.Table[[#This Row],[Gruppe Blau]]&amp;OfficeForms.Table[[#This Row],[Gruppe Grün]]</f>
        <v>Schildkröte blau</v>
      </c>
      <c r="J122" s="2" t="s">
        <v>11</v>
      </c>
      <c r="L122">
        <v>3.34</v>
      </c>
      <c r="O122" s="2"/>
      <c r="P122" s="4"/>
      <c r="Q122" s="2"/>
      <c r="R122" s="2"/>
      <c r="S122" s="4"/>
    </row>
    <row r="123" spans="1:19">
      <c r="A123">
        <v>234</v>
      </c>
      <c r="B123" s="1">
        <v>45468.4674884259</v>
      </c>
      <c r="C123" s="1">
        <v>45468.473356481503</v>
      </c>
      <c r="D123" s="2" t="s">
        <v>19</v>
      </c>
      <c r="E123" s="2"/>
      <c r="F123" s="2" t="s">
        <v>22</v>
      </c>
      <c r="G123" s="2"/>
      <c r="H123" s="2" t="s">
        <v>51</v>
      </c>
      <c r="I123" t="str">
        <f>OfficeForms.Table[[#This Row],[Gruppe Blau]]&amp;OfficeForms.Table[[#This Row],[Gruppe Grün]]</f>
        <v>Schlange grün</v>
      </c>
      <c r="J123" s="2" t="s">
        <v>11</v>
      </c>
      <c r="L123">
        <v>3.52</v>
      </c>
      <c r="O123" s="2"/>
      <c r="P123" s="4"/>
      <c r="Q123" s="2"/>
      <c r="R123" s="2"/>
      <c r="S123" s="4"/>
    </row>
    <row r="124" spans="1:19">
      <c r="A124">
        <v>236</v>
      </c>
      <c r="B124" s="1">
        <v>45468.472939814797</v>
      </c>
      <c r="C124" s="1">
        <v>45468.473391203697</v>
      </c>
      <c r="D124" s="2" t="s">
        <v>19</v>
      </c>
      <c r="E124" s="2"/>
      <c r="F124" s="2" t="s">
        <v>20</v>
      </c>
      <c r="G124" s="2" t="s">
        <v>39</v>
      </c>
      <c r="H124" s="2"/>
      <c r="I124" t="str">
        <f>OfficeForms.Table[[#This Row],[Gruppe Blau]]&amp;OfficeForms.Table[[#This Row],[Gruppe Grün]]</f>
        <v>Schlange blau</v>
      </c>
      <c r="J124" s="2" t="s">
        <v>11</v>
      </c>
      <c r="L124">
        <v>3.38</v>
      </c>
      <c r="O124" s="2"/>
      <c r="P124" s="4"/>
      <c r="Q124" s="2"/>
      <c r="R124" s="2"/>
      <c r="S124" s="4"/>
    </row>
    <row r="125" spans="1:19">
      <c r="A125">
        <v>42</v>
      </c>
      <c r="B125" s="1">
        <v>45468.308495370402</v>
      </c>
      <c r="C125" s="1">
        <v>45468.362905092603</v>
      </c>
      <c r="D125" s="2" t="s">
        <v>19</v>
      </c>
      <c r="E125" s="2"/>
      <c r="F125" s="2" t="s">
        <v>22</v>
      </c>
      <c r="G125" s="2"/>
      <c r="H125" s="2" t="s">
        <v>44</v>
      </c>
      <c r="I125" t="str">
        <f>OfficeForms.Table[[#This Row],[Gruppe Blau]]&amp;OfficeForms.Table[[#This Row],[Gruppe Grün]]</f>
        <v>Schmetterling grün</v>
      </c>
      <c r="J125" s="2" t="s">
        <v>11</v>
      </c>
      <c r="L125">
        <v>4.1100000000000003</v>
      </c>
      <c r="O125" s="2"/>
      <c r="P125" s="4"/>
      <c r="Q125" s="2"/>
      <c r="R125" s="2"/>
      <c r="S125" s="4"/>
    </row>
    <row r="126" spans="1:19">
      <c r="A126">
        <v>56</v>
      </c>
      <c r="B126" s="1">
        <v>45468.363020833298</v>
      </c>
      <c r="C126" s="1">
        <v>45468.366435185198</v>
      </c>
      <c r="D126" s="2" t="s">
        <v>19</v>
      </c>
      <c r="E126" s="2"/>
      <c r="F126" s="2" t="s">
        <v>20</v>
      </c>
      <c r="G126" s="2" t="s">
        <v>40</v>
      </c>
      <c r="H126" s="2"/>
      <c r="I126" t="str">
        <f>OfficeForms.Table[[#This Row],[Gruppe Blau]]&amp;OfficeForms.Table[[#This Row],[Gruppe Grün]]</f>
        <v>Schmetterling blau</v>
      </c>
      <c r="J126" s="2" t="s">
        <v>11</v>
      </c>
      <c r="L126">
        <v>3.34</v>
      </c>
      <c r="O126" s="2"/>
      <c r="P126" s="4"/>
      <c r="Q126" s="2"/>
      <c r="R126" s="2"/>
      <c r="S126" s="4"/>
    </row>
    <row r="127" spans="1:19">
      <c r="A127">
        <v>53</v>
      </c>
      <c r="B127" s="1">
        <v>45468.363009259301</v>
      </c>
      <c r="C127" s="1">
        <v>45468.3661111111</v>
      </c>
      <c r="D127" s="2" t="s">
        <v>19</v>
      </c>
      <c r="E127" s="2"/>
      <c r="F127" s="2" t="s">
        <v>22</v>
      </c>
      <c r="G127" s="2"/>
      <c r="H127" s="2" t="s">
        <v>35</v>
      </c>
      <c r="I127" t="str">
        <f>OfficeForms.Table[[#This Row],[Gruppe Blau]]&amp;OfficeForms.Table[[#This Row],[Gruppe Grün]]</f>
        <v>Tiger grün</v>
      </c>
      <c r="J127" s="2" t="s">
        <v>11</v>
      </c>
      <c r="L127">
        <v>2.5099999999999998</v>
      </c>
      <c r="O127" s="2"/>
      <c r="P127" s="4"/>
      <c r="Q127" s="2"/>
      <c r="R127" s="2"/>
      <c r="S127" s="4"/>
    </row>
    <row r="128" spans="1:19">
      <c r="A128">
        <v>41</v>
      </c>
      <c r="B128" s="1">
        <v>45468.356921296298</v>
      </c>
      <c r="C128" s="1">
        <v>45468.362905092603</v>
      </c>
      <c r="D128" s="2" t="s">
        <v>19</v>
      </c>
      <c r="E128" s="2"/>
      <c r="F128" s="2" t="s">
        <v>20</v>
      </c>
      <c r="G128" s="2" t="s">
        <v>45</v>
      </c>
      <c r="H128" s="2"/>
      <c r="I128" t="str">
        <f>OfficeForms.Table[[#This Row],[Gruppe Blau]]&amp;OfficeForms.Table[[#This Row],[Gruppe Grün]]</f>
        <v>Tiger blau</v>
      </c>
      <c r="J128" s="2" t="s">
        <v>11</v>
      </c>
      <c r="L128">
        <v>3.44</v>
      </c>
      <c r="O128" s="2"/>
      <c r="P128" s="4"/>
      <c r="Q128" s="2"/>
      <c r="R128" s="2"/>
      <c r="S128" s="4"/>
    </row>
    <row r="129" spans="1:19">
      <c r="A129">
        <v>72</v>
      </c>
      <c r="B129" s="1">
        <v>45468.362476851798</v>
      </c>
      <c r="C129" s="1">
        <v>45468.378680555601</v>
      </c>
      <c r="D129" s="2" t="s">
        <v>19</v>
      </c>
      <c r="E129" s="2"/>
      <c r="F129" s="2" t="s">
        <v>20</v>
      </c>
      <c r="G129" s="2" t="s">
        <v>36</v>
      </c>
      <c r="H129" s="2"/>
      <c r="I129" t="str">
        <f>OfficeForms.Table[[#This Row],[Gruppe Blau]]&amp;OfficeForms.Table[[#This Row],[Gruppe Grün]]</f>
        <v>Affe blau</v>
      </c>
      <c r="J129" s="2" t="s">
        <v>16</v>
      </c>
      <c r="O129" s="2"/>
      <c r="P129" s="4"/>
      <c r="Q129" s="2">
        <v>16.7</v>
      </c>
      <c r="R129" s="2"/>
      <c r="S129" s="4"/>
    </row>
    <row r="130" spans="1:19">
      <c r="A130">
        <v>75</v>
      </c>
      <c r="B130" s="1">
        <v>45468.378703703696</v>
      </c>
      <c r="C130" s="1">
        <v>45468.380127314798</v>
      </c>
      <c r="D130" s="2" t="s">
        <v>19</v>
      </c>
      <c r="E130" s="2"/>
      <c r="F130" s="2" t="s">
        <v>22</v>
      </c>
      <c r="G130" s="2"/>
      <c r="H130" s="2" t="s">
        <v>28</v>
      </c>
      <c r="I130" t="str">
        <f>OfficeForms.Table[[#This Row],[Gruppe Blau]]&amp;OfficeForms.Table[[#This Row],[Gruppe Grün]]</f>
        <v>Affe grün</v>
      </c>
      <c r="J130" s="2" t="s">
        <v>16</v>
      </c>
      <c r="O130" s="2"/>
      <c r="P130" s="4"/>
      <c r="Q130" s="2">
        <v>8.9</v>
      </c>
      <c r="R130" s="2"/>
      <c r="S130" s="4"/>
    </row>
    <row r="131" spans="1:19">
      <c r="A131">
        <v>227</v>
      </c>
      <c r="B131" s="1">
        <v>45468.456076388902</v>
      </c>
      <c r="C131" s="1">
        <v>45468.471076388902</v>
      </c>
      <c r="D131" s="2" t="s">
        <v>19</v>
      </c>
      <c r="E131" s="2"/>
      <c r="F131" s="2" t="s">
        <v>20</v>
      </c>
      <c r="G131" s="2" t="s">
        <v>47</v>
      </c>
      <c r="H131" s="2"/>
      <c r="I131" t="str">
        <f>OfficeForms.Table[[#This Row],[Gruppe Blau]]&amp;OfficeForms.Table[[#This Row],[Gruppe Grün]]</f>
        <v>Delfin blau</v>
      </c>
      <c r="J131" s="2" t="s">
        <v>16</v>
      </c>
      <c r="O131" s="2"/>
      <c r="P131" s="4"/>
      <c r="Q131" s="2">
        <v>10</v>
      </c>
      <c r="R131" s="2"/>
      <c r="S131" s="4"/>
    </row>
    <row r="132" spans="1:19">
      <c r="A132">
        <v>229</v>
      </c>
      <c r="B132" s="1">
        <v>45468.471111111103</v>
      </c>
      <c r="C132" s="1">
        <v>45468.471238425896</v>
      </c>
      <c r="D132" s="2" t="s">
        <v>19</v>
      </c>
      <c r="E132" s="2"/>
      <c r="F132" s="2" t="s">
        <v>22</v>
      </c>
      <c r="G132" s="2"/>
      <c r="H132" s="2" t="s">
        <v>33</v>
      </c>
      <c r="I132" t="str">
        <f>OfficeForms.Table[[#This Row],[Gruppe Blau]]&amp;OfficeForms.Table[[#This Row],[Gruppe Grün]]</f>
        <v>Delfin grün</v>
      </c>
      <c r="J132" s="2" t="s">
        <v>16</v>
      </c>
      <c r="O132" s="2"/>
      <c r="P132" s="4"/>
      <c r="Q132" s="2">
        <v>10.3</v>
      </c>
      <c r="R132" s="2"/>
      <c r="S132" s="4"/>
    </row>
    <row r="133" spans="1:19">
      <c r="A133">
        <v>209</v>
      </c>
      <c r="B133" s="1">
        <v>45468.455810185202</v>
      </c>
      <c r="C133" s="1">
        <v>45468.456053240698</v>
      </c>
      <c r="D133" s="2" t="s">
        <v>19</v>
      </c>
      <c r="E133" s="2"/>
      <c r="F133" s="2" t="s">
        <v>22</v>
      </c>
      <c r="G133" s="2"/>
      <c r="H133" s="2" t="s">
        <v>34</v>
      </c>
      <c r="I133" t="str">
        <f>OfficeForms.Table[[#This Row],[Gruppe Blau]]&amp;OfficeForms.Table[[#This Row],[Gruppe Grün]]</f>
        <v>Elefant grün</v>
      </c>
      <c r="J133" s="2" t="s">
        <v>16</v>
      </c>
      <c r="O133" s="2"/>
      <c r="P133" s="4"/>
      <c r="Q133" s="2">
        <v>17</v>
      </c>
      <c r="R133" s="2"/>
      <c r="S133" s="4"/>
    </row>
    <row r="134" spans="1:19">
      <c r="A134">
        <v>208</v>
      </c>
      <c r="B134" s="1">
        <v>45468.442951388897</v>
      </c>
      <c r="C134" s="1">
        <v>45468.455775463</v>
      </c>
      <c r="D134" s="2" t="s">
        <v>19</v>
      </c>
      <c r="E134" s="2"/>
      <c r="F134" s="2" t="s">
        <v>20</v>
      </c>
      <c r="G134" s="2" t="s">
        <v>48</v>
      </c>
      <c r="H134" s="2"/>
      <c r="I134" t="str">
        <f>OfficeForms.Table[[#This Row],[Gruppe Blau]]&amp;OfficeForms.Table[[#This Row],[Gruppe Grün]]</f>
        <v>Elefant blau</v>
      </c>
      <c r="J134" s="2" t="s">
        <v>16</v>
      </c>
      <c r="O134" s="2"/>
      <c r="P134" s="4"/>
      <c r="Q134" s="2">
        <v>17.5</v>
      </c>
      <c r="R134" s="2"/>
      <c r="S134" s="4"/>
    </row>
    <row r="135" spans="1:19">
      <c r="A135">
        <v>140</v>
      </c>
      <c r="B135" s="1">
        <v>45468.396377314799</v>
      </c>
      <c r="C135" s="1">
        <v>45468.414050925901</v>
      </c>
      <c r="D135" s="2" t="s">
        <v>19</v>
      </c>
      <c r="E135" s="2"/>
      <c r="F135" s="2" t="s">
        <v>22</v>
      </c>
      <c r="G135" s="2"/>
      <c r="H135" s="2" t="s">
        <v>24</v>
      </c>
      <c r="I135" t="str">
        <f>OfficeForms.Table[[#This Row],[Gruppe Blau]]&amp;OfficeForms.Table[[#This Row],[Gruppe Grün]]</f>
        <v>Eule grün</v>
      </c>
      <c r="J135" s="2" t="s">
        <v>16</v>
      </c>
      <c r="O135" s="2"/>
      <c r="P135" s="4"/>
      <c r="Q135" s="2">
        <v>18.100000000000001</v>
      </c>
      <c r="R135" s="2"/>
      <c r="S135" s="4"/>
    </row>
    <row r="136" spans="1:19">
      <c r="A136">
        <v>142</v>
      </c>
      <c r="B136" s="1">
        <v>45468.414074074099</v>
      </c>
      <c r="C136" s="1">
        <v>45468.414548611101</v>
      </c>
      <c r="D136" s="2" t="s">
        <v>19</v>
      </c>
      <c r="E136" s="2"/>
      <c r="F136" s="2" t="s">
        <v>20</v>
      </c>
      <c r="G136" s="2" t="s">
        <v>46</v>
      </c>
      <c r="H136" s="2"/>
      <c r="I136" t="str">
        <f>OfficeForms.Table[[#This Row],[Gruppe Blau]]&amp;OfficeForms.Table[[#This Row],[Gruppe Grün]]</f>
        <v>Eule blau</v>
      </c>
      <c r="J136" s="2" t="s">
        <v>16</v>
      </c>
      <c r="O136" s="2"/>
      <c r="P136" s="4"/>
      <c r="Q136" s="2">
        <v>13.1</v>
      </c>
      <c r="R136" s="2"/>
      <c r="S136" s="4"/>
    </row>
    <row r="137" spans="1:19">
      <c r="A137">
        <v>139</v>
      </c>
      <c r="B137" s="1">
        <v>45468.4125347222</v>
      </c>
      <c r="C137" s="1">
        <v>45468.412835648203</v>
      </c>
      <c r="D137" s="2" t="s">
        <v>19</v>
      </c>
      <c r="E137" s="2"/>
      <c r="F137" s="2" t="s">
        <v>22</v>
      </c>
      <c r="G137" s="2"/>
      <c r="H137" s="2" t="s">
        <v>25</v>
      </c>
      <c r="I137" t="str">
        <f>OfficeForms.Table[[#This Row],[Gruppe Blau]]&amp;OfficeForms.Table[[#This Row],[Gruppe Grün]]</f>
        <v>Fuchs grün</v>
      </c>
      <c r="J137" s="2" t="s">
        <v>16</v>
      </c>
      <c r="O137" s="2"/>
      <c r="P137" s="4"/>
      <c r="Q137" s="2">
        <v>13.2</v>
      </c>
      <c r="R137" s="2"/>
      <c r="S137" s="4"/>
    </row>
    <row r="138" spans="1:19">
      <c r="A138">
        <v>138</v>
      </c>
      <c r="B138" s="1">
        <v>45468.396967592598</v>
      </c>
      <c r="C138" s="1">
        <v>45468.412523148101</v>
      </c>
      <c r="D138" s="2" t="s">
        <v>19</v>
      </c>
      <c r="E138" s="2"/>
      <c r="F138" s="2" t="s">
        <v>20</v>
      </c>
      <c r="G138" s="2" t="s">
        <v>53</v>
      </c>
      <c r="H138" s="2"/>
      <c r="I138" t="str">
        <f>OfficeForms.Table[[#This Row],[Gruppe Blau]]&amp;OfficeForms.Table[[#This Row],[Gruppe Grün]]</f>
        <v>Fuchs blau</v>
      </c>
      <c r="J138" s="2" t="s">
        <v>16</v>
      </c>
      <c r="O138" s="2"/>
      <c r="P138" s="4"/>
      <c r="Q138" s="2">
        <v>16.899999999999999</v>
      </c>
      <c r="R138" s="2"/>
      <c r="S138" s="4"/>
    </row>
    <row r="139" spans="1:19">
      <c r="A139">
        <v>186</v>
      </c>
      <c r="B139" s="1">
        <v>45468.442430555602</v>
      </c>
      <c r="C139" s="1">
        <v>45468.442939814799</v>
      </c>
      <c r="D139" s="2" t="s">
        <v>19</v>
      </c>
      <c r="E139" s="2"/>
      <c r="F139" s="2" t="s">
        <v>22</v>
      </c>
      <c r="G139" s="2"/>
      <c r="H139" s="2" t="s">
        <v>31</v>
      </c>
      <c r="I139" t="str">
        <f>OfficeForms.Table[[#This Row],[Gruppe Blau]]&amp;OfficeForms.Table[[#This Row],[Gruppe Grün]]</f>
        <v>Giraffe grün</v>
      </c>
      <c r="J139" s="2" t="s">
        <v>16</v>
      </c>
      <c r="O139" s="2"/>
      <c r="P139" s="4"/>
      <c r="Q139" s="2">
        <v>13.4</v>
      </c>
      <c r="R139" s="2"/>
      <c r="S139" s="4"/>
    </row>
    <row r="140" spans="1:19">
      <c r="A140">
        <v>183</v>
      </c>
      <c r="B140" s="1">
        <v>45468.412858796299</v>
      </c>
      <c r="C140" s="1">
        <v>45468.442060185203</v>
      </c>
      <c r="D140" s="2" t="s">
        <v>19</v>
      </c>
      <c r="E140" s="2"/>
      <c r="F140" s="2" t="s">
        <v>20</v>
      </c>
      <c r="G140" s="2" t="s">
        <v>21</v>
      </c>
      <c r="H140" s="2"/>
      <c r="I140" t="str">
        <f>OfficeForms.Table[[#This Row],[Gruppe Blau]]&amp;OfficeForms.Table[[#This Row],[Gruppe Grün]]</f>
        <v>Giraffe blau</v>
      </c>
      <c r="J140" s="2" t="s">
        <v>16</v>
      </c>
      <c r="O140" s="2"/>
      <c r="P140" s="4"/>
      <c r="Q140" s="2">
        <v>9.4</v>
      </c>
      <c r="R140" s="2"/>
      <c r="S140" s="4"/>
    </row>
    <row r="141" spans="1:19">
      <c r="A141">
        <v>176</v>
      </c>
      <c r="B141" s="1">
        <v>45468.439699074101</v>
      </c>
      <c r="C141" s="1">
        <v>45468.440659722197</v>
      </c>
      <c r="D141" s="2" t="s">
        <v>19</v>
      </c>
      <c r="E141" s="2"/>
      <c r="F141" s="2" t="s">
        <v>22</v>
      </c>
      <c r="G141" s="2"/>
      <c r="H141" s="2" t="s">
        <v>49</v>
      </c>
      <c r="I141" t="str">
        <f>OfficeForms.Table[[#This Row],[Gruppe Blau]]&amp;OfficeForms.Table[[#This Row],[Gruppe Grün]]</f>
        <v>Igel grün</v>
      </c>
      <c r="J141" s="2" t="s">
        <v>16</v>
      </c>
      <c r="O141" s="2"/>
      <c r="P141" s="4"/>
      <c r="Q141" s="2">
        <v>17.2</v>
      </c>
      <c r="R141" s="2"/>
      <c r="S141" s="4"/>
    </row>
    <row r="142" spans="1:19">
      <c r="A142">
        <v>177</v>
      </c>
      <c r="B142" s="1">
        <v>45468.440671296303</v>
      </c>
      <c r="C142" s="1">
        <v>45468.440856481502</v>
      </c>
      <c r="D142" s="2" t="s">
        <v>19</v>
      </c>
      <c r="E142" s="2"/>
      <c r="F142" s="2" t="s">
        <v>20</v>
      </c>
      <c r="G142" s="2" t="s">
        <v>32</v>
      </c>
      <c r="H142" s="2"/>
      <c r="I142" t="str">
        <f>OfficeForms.Table[[#This Row],[Gruppe Blau]]&amp;OfficeForms.Table[[#This Row],[Gruppe Grün]]</f>
        <v>Igel blau</v>
      </c>
      <c r="J142" s="2" t="s">
        <v>16</v>
      </c>
      <c r="O142" s="2"/>
      <c r="P142" s="4"/>
      <c r="Q142" s="2">
        <v>16</v>
      </c>
      <c r="R142" s="2"/>
      <c r="S142" s="4"/>
    </row>
    <row r="143" spans="1:19">
      <c r="A143">
        <v>244</v>
      </c>
      <c r="B143" s="1">
        <v>45468.477071759298</v>
      </c>
      <c r="C143" s="1">
        <v>45468.477349537003</v>
      </c>
      <c r="D143" s="2" t="s">
        <v>19</v>
      </c>
      <c r="E143" s="2"/>
      <c r="F143" s="2" t="s">
        <v>22</v>
      </c>
      <c r="G143" s="2"/>
      <c r="H143" s="2" t="s">
        <v>52</v>
      </c>
      <c r="I143" t="str">
        <f>OfficeForms.Table[[#This Row],[Gruppe Blau]]&amp;OfficeForms.Table[[#This Row],[Gruppe Grün]]</f>
        <v>Katze grün</v>
      </c>
      <c r="J143" s="2" t="s">
        <v>16</v>
      </c>
      <c r="O143" s="2"/>
      <c r="P143" s="4"/>
      <c r="Q143" s="2">
        <v>7.8</v>
      </c>
      <c r="R143" s="2"/>
      <c r="S143" s="4"/>
    </row>
    <row r="144" spans="1:19">
      <c r="A144">
        <v>243</v>
      </c>
      <c r="B144" s="1">
        <v>45468.459803240701</v>
      </c>
      <c r="C144" s="1">
        <v>45468.477037037002</v>
      </c>
      <c r="D144" s="2" t="s">
        <v>19</v>
      </c>
      <c r="E144" s="2"/>
      <c r="F144" s="2" t="s">
        <v>20</v>
      </c>
      <c r="G144" s="2" t="s">
        <v>37</v>
      </c>
      <c r="H144" s="2"/>
      <c r="I144" t="str">
        <f>OfficeForms.Table[[#This Row],[Gruppe Blau]]&amp;OfficeForms.Table[[#This Row],[Gruppe Grün]]</f>
        <v>Katze blau</v>
      </c>
      <c r="J144" s="2" t="s">
        <v>16</v>
      </c>
      <c r="O144" s="2"/>
      <c r="P144" s="4"/>
      <c r="Q144" s="2">
        <v>21.8</v>
      </c>
      <c r="R144" s="2"/>
      <c r="S144" s="4"/>
    </row>
    <row r="145" spans="1:19">
      <c r="A145">
        <v>109</v>
      </c>
      <c r="B145" s="1">
        <v>45468.381111111099</v>
      </c>
      <c r="C145" s="1">
        <v>45468.396099537</v>
      </c>
      <c r="D145" s="2" t="s">
        <v>19</v>
      </c>
      <c r="E145" s="2"/>
      <c r="F145" s="2" t="s">
        <v>22</v>
      </c>
      <c r="G145" s="2"/>
      <c r="H145" s="2" t="s">
        <v>23</v>
      </c>
      <c r="I145" t="str">
        <f>OfficeForms.Table[[#This Row],[Gruppe Blau]]&amp;OfficeForms.Table[[#This Row],[Gruppe Grün]]</f>
        <v>Krebs grün</v>
      </c>
      <c r="J145" s="2" t="s">
        <v>16</v>
      </c>
      <c r="O145" s="2"/>
      <c r="P145" s="4"/>
      <c r="Q145" s="2">
        <v>18</v>
      </c>
      <c r="R145" s="2"/>
      <c r="S145" s="4"/>
    </row>
    <row r="146" spans="1:19">
      <c r="A146">
        <v>110</v>
      </c>
      <c r="B146" s="1">
        <v>45468.396122685197</v>
      </c>
      <c r="C146" s="1">
        <v>45468.396354166704</v>
      </c>
      <c r="D146" s="2" t="s">
        <v>19</v>
      </c>
      <c r="E146" s="2"/>
      <c r="F146" s="2" t="s">
        <v>20</v>
      </c>
      <c r="G146" s="2" t="s">
        <v>26</v>
      </c>
      <c r="H146" s="2"/>
      <c r="I146" t="str">
        <f>OfficeForms.Table[[#This Row],[Gruppe Blau]]&amp;OfficeForms.Table[[#This Row],[Gruppe Grün]]</f>
        <v>Krebs blau</v>
      </c>
      <c r="J146" s="2" t="s">
        <v>16</v>
      </c>
      <c r="O146" s="2"/>
      <c r="P146" s="4"/>
      <c r="Q146" s="2">
        <v>11.3</v>
      </c>
      <c r="R146" s="2"/>
      <c r="S146" s="4"/>
    </row>
    <row r="147" spans="1:19">
      <c r="A147">
        <v>39</v>
      </c>
      <c r="B147" s="1">
        <v>45468.362141203703</v>
      </c>
      <c r="C147" s="1">
        <v>45468.362453703703</v>
      </c>
      <c r="D147" s="2" t="s">
        <v>19</v>
      </c>
      <c r="E147" s="2"/>
      <c r="F147" s="2" t="s">
        <v>22</v>
      </c>
      <c r="G147" s="2"/>
      <c r="H147" s="2" t="s">
        <v>38</v>
      </c>
      <c r="I147" t="str">
        <f>OfficeForms.Table[[#This Row],[Gruppe Blau]]&amp;OfficeForms.Table[[#This Row],[Gruppe Grün]]</f>
        <v>Nilpferd grün</v>
      </c>
      <c r="J147" s="2" t="s">
        <v>16</v>
      </c>
      <c r="O147" s="2"/>
      <c r="P147" s="4"/>
      <c r="Q147" s="2">
        <v>12</v>
      </c>
      <c r="R147" s="2"/>
      <c r="S147" s="4"/>
    </row>
    <row r="148" spans="1:19">
      <c r="A148">
        <v>38</v>
      </c>
      <c r="B148" s="1">
        <v>45468.361562500002</v>
      </c>
      <c r="C148" s="1">
        <v>45468.362083333297</v>
      </c>
      <c r="D148" s="2" t="s">
        <v>19</v>
      </c>
      <c r="E148" s="2"/>
      <c r="F148" s="2" t="s">
        <v>20</v>
      </c>
      <c r="G148" s="2" t="s">
        <v>41</v>
      </c>
      <c r="H148" s="2"/>
      <c r="I148" t="str">
        <f>OfficeForms.Table[[#This Row],[Gruppe Blau]]&amp;OfficeForms.Table[[#This Row],[Gruppe Grün]]</f>
        <v>Nilpferd blau</v>
      </c>
      <c r="J148" s="2" t="s">
        <v>16</v>
      </c>
      <c r="O148" s="2"/>
      <c r="P148" s="4"/>
      <c r="Q148" s="2">
        <v>10.3</v>
      </c>
      <c r="R148" s="2"/>
      <c r="S148" s="4"/>
    </row>
    <row r="149" spans="1:19">
      <c r="A149">
        <v>44</v>
      </c>
      <c r="B149" s="1">
        <v>45468.317141203697</v>
      </c>
      <c r="C149" s="1">
        <v>45468.363680555602</v>
      </c>
      <c r="D149" s="2" t="s">
        <v>19</v>
      </c>
      <c r="E149" s="2"/>
      <c r="F149" s="2" t="s">
        <v>22</v>
      </c>
      <c r="G149" s="2"/>
      <c r="H149" s="2" t="s">
        <v>50</v>
      </c>
      <c r="I149" t="str">
        <f>OfficeForms.Table[[#This Row],[Gruppe Blau]]&amp;OfficeForms.Table[[#This Row],[Gruppe Grün]]</f>
        <v>Panda grün</v>
      </c>
      <c r="J149" s="2" t="s">
        <v>16</v>
      </c>
      <c r="O149" s="2"/>
      <c r="P149" s="4"/>
      <c r="Q149" s="2">
        <v>14.3</v>
      </c>
      <c r="R149" s="2"/>
      <c r="S149" s="4"/>
    </row>
    <row r="150" spans="1:19">
      <c r="A150">
        <v>47</v>
      </c>
      <c r="B150" s="1">
        <v>45468.363726851901</v>
      </c>
      <c r="C150" s="1">
        <v>45468.363935185203</v>
      </c>
      <c r="D150" s="2" t="s">
        <v>19</v>
      </c>
      <c r="E150" s="2"/>
      <c r="F150" s="2" t="s">
        <v>20</v>
      </c>
      <c r="G150" s="2" t="s">
        <v>27</v>
      </c>
      <c r="H150" s="2"/>
      <c r="I150" t="str">
        <f>OfficeForms.Table[[#This Row],[Gruppe Blau]]&amp;OfficeForms.Table[[#This Row],[Gruppe Grün]]</f>
        <v>Panda blau</v>
      </c>
      <c r="J150" s="2" t="s">
        <v>16</v>
      </c>
      <c r="O150" s="2"/>
      <c r="P150" s="4"/>
      <c r="Q150" s="2">
        <v>6.5</v>
      </c>
      <c r="R150" s="2"/>
      <c r="S150" s="4"/>
    </row>
    <row r="151" spans="1:19">
      <c r="A151">
        <v>81</v>
      </c>
      <c r="B151" s="1">
        <v>45468.380578703698</v>
      </c>
      <c r="C151" s="1">
        <v>45468.380856481497</v>
      </c>
      <c r="D151" s="2" t="s">
        <v>19</v>
      </c>
      <c r="E151" s="2"/>
      <c r="F151" s="2" t="s">
        <v>22</v>
      </c>
      <c r="G151" s="2"/>
      <c r="H151" s="2" t="s">
        <v>29</v>
      </c>
      <c r="I151" t="str">
        <f>OfficeForms.Table[[#This Row],[Gruppe Blau]]&amp;OfficeForms.Table[[#This Row],[Gruppe Grün]]</f>
        <v>Schaf grün</v>
      </c>
      <c r="J151" s="2" t="s">
        <v>16</v>
      </c>
      <c r="O151" s="2"/>
      <c r="P151" s="4"/>
      <c r="Q151" s="2">
        <v>14.4</v>
      </c>
      <c r="R151" s="2"/>
      <c r="S151" s="4"/>
    </row>
    <row r="152" spans="1:19">
      <c r="A152">
        <v>84</v>
      </c>
      <c r="B152" s="1">
        <v>45468.3808796296</v>
      </c>
      <c r="C152" s="1">
        <v>45468.381087962996</v>
      </c>
      <c r="D152" s="2" t="s">
        <v>19</v>
      </c>
      <c r="E152" s="2"/>
      <c r="F152" s="2" t="s">
        <v>20</v>
      </c>
      <c r="G152" s="2" t="s">
        <v>42</v>
      </c>
      <c r="H152" s="2"/>
      <c r="I152" t="str">
        <f>OfficeForms.Table[[#This Row],[Gruppe Blau]]&amp;OfficeForms.Table[[#This Row],[Gruppe Grün]]</f>
        <v>Schaf blau</v>
      </c>
      <c r="J152" s="2" t="s">
        <v>16</v>
      </c>
      <c r="O152" s="2"/>
      <c r="P152" s="4"/>
      <c r="Q152" s="2"/>
      <c r="R152" s="2"/>
      <c r="S152" s="4">
        <v>15.5</v>
      </c>
    </row>
    <row r="153" spans="1:19">
      <c r="A153">
        <v>112</v>
      </c>
      <c r="B153" s="1">
        <v>45468.396759259304</v>
      </c>
      <c r="C153" s="1">
        <v>45468.396944444401</v>
      </c>
      <c r="D153" s="2" t="s">
        <v>19</v>
      </c>
      <c r="E153" s="2"/>
      <c r="F153" s="2" t="s">
        <v>22</v>
      </c>
      <c r="G153" s="2"/>
      <c r="H153" s="2" t="s">
        <v>30</v>
      </c>
      <c r="I153" t="str">
        <f>OfficeForms.Table[[#This Row],[Gruppe Blau]]&amp;OfficeForms.Table[[#This Row],[Gruppe Grün]]</f>
        <v>Schildkröte grün</v>
      </c>
      <c r="J153" s="2" t="s">
        <v>16</v>
      </c>
      <c r="O153" s="2"/>
      <c r="P153" s="4"/>
      <c r="Q153" s="2">
        <v>12</v>
      </c>
      <c r="R153" s="2"/>
      <c r="S153" s="4"/>
    </row>
    <row r="154" spans="1:19">
      <c r="A154">
        <v>111</v>
      </c>
      <c r="B154" s="1">
        <v>45468.380150463003</v>
      </c>
      <c r="C154" s="1">
        <v>45468.396747685198</v>
      </c>
      <c r="D154" s="2" t="s">
        <v>19</v>
      </c>
      <c r="E154" s="2"/>
      <c r="F154" s="2" t="s">
        <v>20</v>
      </c>
      <c r="G154" s="2" t="s">
        <v>43</v>
      </c>
      <c r="H154" s="2"/>
      <c r="I154" t="str">
        <f>OfficeForms.Table[[#This Row],[Gruppe Blau]]&amp;OfficeForms.Table[[#This Row],[Gruppe Grün]]</f>
        <v>Schildkröte blau</v>
      </c>
      <c r="J154" s="2" t="s">
        <v>16</v>
      </c>
      <c r="O154" s="2"/>
      <c r="P154" s="4"/>
      <c r="Q154" s="2">
        <v>16.5</v>
      </c>
      <c r="R154" s="2"/>
      <c r="S154" s="4"/>
    </row>
    <row r="155" spans="1:19">
      <c r="A155">
        <v>213</v>
      </c>
      <c r="B155" s="1">
        <v>45468.443032407398</v>
      </c>
      <c r="C155" s="1">
        <v>45468.4594560185</v>
      </c>
      <c r="D155" s="2" t="s">
        <v>19</v>
      </c>
      <c r="E155" s="2"/>
      <c r="F155" s="2" t="s">
        <v>22</v>
      </c>
      <c r="G155" s="2"/>
      <c r="H155" s="2" t="s">
        <v>51</v>
      </c>
      <c r="I155" t="str">
        <f>OfficeForms.Table[[#This Row],[Gruppe Blau]]&amp;OfficeForms.Table[[#This Row],[Gruppe Grün]]</f>
        <v>Schlange grün</v>
      </c>
      <c r="J155" s="2" t="s">
        <v>16</v>
      </c>
      <c r="O155" s="2"/>
      <c r="P155" s="4"/>
      <c r="Q155" s="2">
        <v>14.7</v>
      </c>
      <c r="R155" s="2"/>
      <c r="S155" s="4"/>
    </row>
    <row r="156" spans="1:19">
      <c r="A156">
        <v>214</v>
      </c>
      <c r="B156" s="1">
        <v>45468.459490740701</v>
      </c>
      <c r="C156" s="1">
        <v>45468.459780092599</v>
      </c>
      <c r="D156" s="2" t="s">
        <v>19</v>
      </c>
      <c r="E156" s="2"/>
      <c r="F156" s="2" t="s">
        <v>20</v>
      </c>
      <c r="G156" s="2" t="s">
        <v>39</v>
      </c>
      <c r="H156" s="2"/>
      <c r="I156" t="str">
        <f>OfficeForms.Table[[#This Row],[Gruppe Blau]]&amp;OfficeForms.Table[[#This Row],[Gruppe Grün]]</f>
        <v>Schlange blau</v>
      </c>
      <c r="J156" s="2" t="s">
        <v>16</v>
      </c>
      <c r="O156" s="2"/>
      <c r="P156" s="4"/>
      <c r="Q156" s="2">
        <v>14.4</v>
      </c>
      <c r="R156" s="2"/>
      <c r="S156" s="4"/>
    </row>
    <row r="157" spans="1:19">
      <c r="A157">
        <v>266</v>
      </c>
      <c r="B157" s="1">
        <v>45468.4773726852</v>
      </c>
      <c r="C157" s="1">
        <v>45468.492604166699</v>
      </c>
      <c r="D157" s="2" t="s">
        <v>19</v>
      </c>
      <c r="E157" s="2"/>
      <c r="F157" s="2" t="s">
        <v>22</v>
      </c>
      <c r="G157" s="2"/>
      <c r="H157" s="2" t="s">
        <v>44</v>
      </c>
      <c r="I157" t="str">
        <f>OfficeForms.Table[[#This Row],[Gruppe Blau]]&amp;OfficeForms.Table[[#This Row],[Gruppe Grün]]</f>
        <v>Schmetterling grün</v>
      </c>
      <c r="J157" s="2" t="s">
        <v>16</v>
      </c>
      <c r="O157" s="2"/>
      <c r="P157" s="4"/>
      <c r="Q157" s="2">
        <v>17.899999999999999</v>
      </c>
      <c r="R157" s="2"/>
      <c r="S157" s="4"/>
    </row>
    <row r="158" spans="1:19">
      <c r="A158">
        <v>267</v>
      </c>
      <c r="B158" s="1">
        <v>45468.4926388889</v>
      </c>
      <c r="C158" s="1">
        <v>45468.4930439815</v>
      </c>
      <c r="D158" s="2" t="s">
        <v>19</v>
      </c>
      <c r="E158" s="2"/>
      <c r="F158" s="2" t="s">
        <v>20</v>
      </c>
      <c r="G158" s="2" t="s">
        <v>40</v>
      </c>
      <c r="H158" s="2"/>
      <c r="I158" t="str">
        <f>OfficeForms.Table[[#This Row],[Gruppe Blau]]&amp;OfficeForms.Table[[#This Row],[Gruppe Grün]]</f>
        <v>Schmetterling blau</v>
      </c>
      <c r="J158" s="2" t="s">
        <v>16</v>
      </c>
      <c r="O158" s="2"/>
      <c r="P158" s="4"/>
      <c r="Q158" s="2">
        <v>10.8</v>
      </c>
      <c r="R158" s="2"/>
      <c r="S158" s="4"/>
    </row>
    <row r="159" spans="1:19">
      <c r="A159">
        <v>264</v>
      </c>
      <c r="B159" s="1">
        <v>45468.471250000002</v>
      </c>
      <c r="C159" s="1">
        <v>45468.491805555597</v>
      </c>
      <c r="D159" s="2" t="s">
        <v>19</v>
      </c>
      <c r="E159" s="2"/>
      <c r="F159" s="2" t="s">
        <v>22</v>
      </c>
      <c r="G159" s="2"/>
      <c r="H159" s="2" t="s">
        <v>35</v>
      </c>
      <c r="I159" t="str">
        <f>OfficeForms.Table[[#This Row],[Gruppe Blau]]&amp;OfficeForms.Table[[#This Row],[Gruppe Grün]]</f>
        <v>Tiger grün</v>
      </c>
      <c r="J159" s="2" t="s">
        <v>16</v>
      </c>
      <c r="O159" s="2"/>
      <c r="P159" s="4"/>
      <c r="Q159" s="2">
        <v>9.5</v>
      </c>
      <c r="R159" s="2"/>
      <c r="S159" s="4"/>
    </row>
    <row r="160" spans="1:19">
      <c r="A160">
        <v>265</v>
      </c>
      <c r="B160" s="1">
        <v>45468.491840277798</v>
      </c>
      <c r="C160" s="1">
        <v>45468.492349537002</v>
      </c>
      <c r="D160" s="2" t="s">
        <v>19</v>
      </c>
      <c r="E160" s="2"/>
      <c r="F160" s="2" t="s">
        <v>20</v>
      </c>
      <c r="G160" s="2" t="s">
        <v>45</v>
      </c>
      <c r="H160" s="2"/>
      <c r="I160" t="str">
        <f>OfficeForms.Table[[#This Row],[Gruppe Blau]]&amp;OfficeForms.Table[[#This Row],[Gruppe Grün]]</f>
        <v>Tiger blau</v>
      </c>
      <c r="J160" s="2" t="s">
        <v>16</v>
      </c>
      <c r="O160" s="2"/>
      <c r="P160" s="4"/>
      <c r="Q160" s="2">
        <v>14.5</v>
      </c>
      <c r="R160" s="2"/>
      <c r="S160" s="4"/>
    </row>
    <row r="161" spans="1:19">
      <c r="A161">
        <v>235</v>
      </c>
      <c r="B161" s="1">
        <v>45468.473182870403</v>
      </c>
      <c r="C161" s="1">
        <v>45468.473379629599</v>
      </c>
      <c r="D161" s="2" t="s">
        <v>19</v>
      </c>
      <c r="E161" s="2"/>
      <c r="F161" s="2" t="s">
        <v>20</v>
      </c>
      <c r="G161" s="2" t="s">
        <v>36</v>
      </c>
      <c r="H161" s="2"/>
      <c r="I161" t="str">
        <f>OfficeForms.Table[[#This Row],[Gruppe Blau]]&amp;OfficeForms.Table[[#This Row],[Gruppe Grün]]</f>
        <v>Affe blau</v>
      </c>
      <c r="J161" s="2" t="s">
        <v>18</v>
      </c>
      <c r="O161" s="2"/>
      <c r="P161" s="4"/>
      <c r="Q161" s="2"/>
      <c r="R161" s="2"/>
      <c r="S161" s="4">
        <v>4</v>
      </c>
    </row>
    <row r="162" spans="1:19">
      <c r="A162">
        <v>238</v>
      </c>
      <c r="B162" s="1">
        <v>45468.475219907399</v>
      </c>
      <c r="C162" s="1">
        <v>45468.475462962997</v>
      </c>
      <c r="D162" s="2" t="s">
        <v>19</v>
      </c>
      <c r="E162" s="2"/>
      <c r="F162" s="2" t="s">
        <v>22</v>
      </c>
      <c r="G162" s="2"/>
      <c r="H162" s="2" t="s">
        <v>28</v>
      </c>
      <c r="I162" t="str">
        <f>OfficeForms.Table[[#This Row],[Gruppe Blau]]&amp;OfficeForms.Table[[#This Row],[Gruppe Grün]]</f>
        <v>Affe grün</v>
      </c>
      <c r="J162" s="2" t="s">
        <v>18</v>
      </c>
      <c r="O162" s="2"/>
      <c r="P162" s="4"/>
      <c r="Q162" s="2"/>
      <c r="R162" s="2"/>
      <c r="S162" s="4">
        <v>3</v>
      </c>
    </row>
    <row r="163" spans="1:19">
      <c r="A163">
        <v>125</v>
      </c>
      <c r="B163" s="1">
        <v>45468.395879629599</v>
      </c>
      <c r="C163" s="1">
        <v>45468.4066550926</v>
      </c>
      <c r="D163" s="2" t="s">
        <v>19</v>
      </c>
      <c r="E163" s="2"/>
      <c r="F163" s="2" t="s">
        <v>20</v>
      </c>
      <c r="G163" s="2" t="s">
        <v>47</v>
      </c>
      <c r="H163" s="2"/>
      <c r="I163" t="str">
        <f>OfficeForms.Table[[#This Row],[Gruppe Blau]]&amp;OfficeForms.Table[[#This Row],[Gruppe Grün]]</f>
        <v>Delfin blau</v>
      </c>
      <c r="J163" s="2" t="s">
        <v>18</v>
      </c>
      <c r="O163" s="2"/>
      <c r="P163" s="4"/>
      <c r="Q163" s="2"/>
      <c r="R163" s="2"/>
      <c r="S163" s="4">
        <v>1</v>
      </c>
    </row>
    <row r="164" spans="1:19">
      <c r="A164">
        <v>128</v>
      </c>
      <c r="B164" s="1">
        <v>45468.406689814801</v>
      </c>
      <c r="C164" s="1">
        <v>45468.4077777778</v>
      </c>
      <c r="D164" s="2" t="s">
        <v>19</v>
      </c>
      <c r="E164" s="2"/>
      <c r="F164" s="2" t="s">
        <v>22</v>
      </c>
      <c r="G164" s="2"/>
      <c r="H164" s="2" t="s">
        <v>33</v>
      </c>
      <c r="I164" t="str">
        <f>OfficeForms.Table[[#This Row],[Gruppe Blau]]&amp;OfficeForms.Table[[#This Row],[Gruppe Grün]]</f>
        <v>Delfin grün</v>
      </c>
      <c r="J164" s="2" t="s">
        <v>18</v>
      </c>
      <c r="O164" s="2"/>
      <c r="P164" s="4"/>
      <c r="Q164" s="2"/>
      <c r="R164" s="2"/>
      <c r="S164" s="4">
        <v>3</v>
      </c>
    </row>
    <row r="165" spans="1:19">
      <c r="A165">
        <v>108</v>
      </c>
      <c r="B165" s="1">
        <v>45468.393564814804</v>
      </c>
      <c r="C165" s="1">
        <v>45468.395775463003</v>
      </c>
      <c r="D165" s="2" t="s">
        <v>19</v>
      </c>
      <c r="E165" s="2"/>
      <c r="F165" s="2" t="s">
        <v>22</v>
      </c>
      <c r="G165" s="2"/>
      <c r="H165" s="2" t="s">
        <v>34</v>
      </c>
      <c r="I165" t="str">
        <f>OfficeForms.Table[[#This Row],[Gruppe Blau]]&amp;OfficeForms.Table[[#This Row],[Gruppe Grün]]</f>
        <v>Elefant grün</v>
      </c>
      <c r="J165" s="2" t="s">
        <v>18</v>
      </c>
      <c r="O165" s="2"/>
      <c r="P165" s="4"/>
      <c r="Q165" s="2"/>
      <c r="R165" s="2"/>
      <c r="S165" s="4">
        <v>2</v>
      </c>
    </row>
    <row r="166" spans="1:19">
      <c r="A166">
        <v>101</v>
      </c>
      <c r="B166" s="1">
        <v>45468.383611111101</v>
      </c>
      <c r="C166" s="1">
        <v>45468.393425925897</v>
      </c>
      <c r="D166" s="2" t="s">
        <v>19</v>
      </c>
      <c r="E166" s="2"/>
      <c r="F166" s="2" t="s">
        <v>20</v>
      </c>
      <c r="G166" s="2" t="s">
        <v>48</v>
      </c>
      <c r="H166" s="2"/>
      <c r="I166" t="str">
        <f>OfficeForms.Table[[#This Row],[Gruppe Blau]]&amp;OfficeForms.Table[[#This Row],[Gruppe Grün]]</f>
        <v>Elefant blau</v>
      </c>
      <c r="J166" s="2" t="s">
        <v>18</v>
      </c>
      <c r="O166" s="2"/>
      <c r="P166" s="4"/>
      <c r="Q166" s="2"/>
      <c r="R166" s="2"/>
      <c r="S166" s="4">
        <v>0</v>
      </c>
    </row>
    <row r="167" spans="1:19">
      <c r="A167">
        <v>40</v>
      </c>
      <c r="B167" s="1">
        <v>45468.358622685198</v>
      </c>
      <c r="C167" s="1">
        <v>45468.362708333298</v>
      </c>
      <c r="D167" s="2" t="s">
        <v>19</v>
      </c>
      <c r="E167" s="2"/>
      <c r="F167" s="2" t="s">
        <v>22</v>
      </c>
      <c r="G167" s="2"/>
      <c r="H167" s="2" t="s">
        <v>24</v>
      </c>
      <c r="I167" t="str">
        <f>OfficeForms.Table[[#This Row],[Gruppe Blau]]&amp;OfficeForms.Table[[#This Row],[Gruppe Grün]]</f>
        <v>Eule grün</v>
      </c>
      <c r="J167" s="2" t="s">
        <v>18</v>
      </c>
      <c r="O167" s="2"/>
      <c r="P167" s="4"/>
      <c r="Q167" s="2"/>
      <c r="R167" s="2"/>
      <c r="S167" s="4">
        <v>1</v>
      </c>
    </row>
    <row r="168" spans="1:19">
      <c r="A168">
        <v>48</v>
      </c>
      <c r="B168" s="1">
        <v>45468.362847222197</v>
      </c>
      <c r="C168" s="1">
        <v>45468.364687499998</v>
      </c>
      <c r="D168" s="2" t="s">
        <v>19</v>
      </c>
      <c r="E168" s="2"/>
      <c r="F168" s="2" t="s">
        <v>20</v>
      </c>
      <c r="G168" s="2" t="s">
        <v>46</v>
      </c>
      <c r="H168" s="2"/>
      <c r="I168" t="str">
        <f>OfficeForms.Table[[#This Row],[Gruppe Blau]]&amp;OfficeForms.Table[[#This Row],[Gruppe Grün]]</f>
        <v>Eule blau</v>
      </c>
      <c r="J168" s="2" t="s">
        <v>18</v>
      </c>
      <c r="O168" s="2"/>
      <c r="P168" s="4"/>
      <c r="Q168" s="2"/>
      <c r="R168" s="2"/>
      <c r="S168" s="4">
        <v>1</v>
      </c>
    </row>
    <row r="169" spans="1:19">
      <c r="A169">
        <v>46</v>
      </c>
      <c r="B169" s="1">
        <v>45468.358634259297</v>
      </c>
      <c r="C169" s="1">
        <v>45468.363819444399</v>
      </c>
      <c r="D169" s="2" t="s">
        <v>19</v>
      </c>
      <c r="E169" s="2"/>
      <c r="F169" s="2" t="s">
        <v>22</v>
      </c>
      <c r="G169" s="2"/>
      <c r="H169" s="2" t="s">
        <v>25</v>
      </c>
      <c r="I169" t="str">
        <f>OfficeForms.Table[[#This Row],[Gruppe Blau]]&amp;OfficeForms.Table[[#This Row],[Gruppe Grün]]</f>
        <v>Fuchs grün</v>
      </c>
      <c r="J169" s="2" t="s">
        <v>18</v>
      </c>
      <c r="O169" s="2"/>
      <c r="P169" s="4"/>
      <c r="Q169" s="2"/>
      <c r="R169" s="2"/>
      <c r="S169" s="4">
        <v>2</v>
      </c>
    </row>
    <row r="170" spans="1:19">
      <c r="A170">
        <v>49</v>
      </c>
      <c r="B170" s="1">
        <v>45468.364340277803</v>
      </c>
      <c r="C170" s="1">
        <v>45468.365092592598</v>
      </c>
      <c r="D170" s="2" t="s">
        <v>19</v>
      </c>
      <c r="E170" s="2"/>
      <c r="F170" s="2" t="s">
        <v>20</v>
      </c>
      <c r="G170" s="2" t="s">
        <v>53</v>
      </c>
      <c r="H170" s="2"/>
      <c r="I170" t="str">
        <f>OfficeForms.Table[[#This Row],[Gruppe Blau]]&amp;OfficeForms.Table[[#This Row],[Gruppe Grün]]</f>
        <v>Fuchs blau</v>
      </c>
      <c r="J170" s="2" t="s">
        <v>18</v>
      </c>
      <c r="O170" s="2"/>
      <c r="P170" s="4"/>
      <c r="Q170" s="2"/>
      <c r="R170" s="2"/>
      <c r="S170" s="4">
        <v>0</v>
      </c>
    </row>
    <row r="171" spans="1:19">
      <c r="A171">
        <v>90</v>
      </c>
      <c r="B171" s="1">
        <v>45468.381307870397</v>
      </c>
      <c r="C171" s="1">
        <v>45468.3835300926</v>
      </c>
      <c r="D171" s="2" t="s">
        <v>19</v>
      </c>
      <c r="E171" s="2"/>
      <c r="F171" s="2" t="s">
        <v>22</v>
      </c>
      <c r="G171" s="2"/>
      <c r="H171" s="2" t="s">
        <v>31</v>
      </c>
      <c r="I171" t="str">
        <f>OfficeForms.Table[[#This Row],[Gruppe Blau]]&amp;OfficeForms.Table[[#This Row],[Gruppe Grün]]</f>
        <v>Giraffe grün</v>
      </c>
      <c r="J171" s="2" t="s">
        <v>18</v>
      </c>
      <c r="O171" s="2"/>
      <c r="P171" s="4"/>
      <c r="Q171" s="2"/>
      <c r="R171" s="2"/>
      <c r="S171" s="4">
        <v>0</v>
      </c>
    </row>
    <row r="172" spans="1:19">
      <c r="A172">
        <v>87</v>
      </c>
      <c r="B172" s="1">
        <v>45468.365138888897</v>
      </c>
      <c r="C172" s="1">
        <v>45468.3812847222</v>
      </c>
      <c r="D172" s="2" t="s">
        <v>19</v>
      </c>
      <c r="E172" s="2"/>
      <c r="F172" s="2" t="s">
        <v>20</v>
      </c>
      <c r="G172" s="2" t="s">
        <v>21</v>
      </c>
      <c r="H172" s="2"/>
      <c r="I172" t="str">
        <f>OfficeForms.Table[[#This Row],[Gruppe Blau]]&amp;OfficeForms.Table[[#This Row],[Gruppe Grün]]</f>
        <v>Giraffe blau</v>
      </c>
      <c r="J172" s="2" t="s">
        <v>18</v>
      </c>
      <c r="O172" s="2"/>
      <c r="P172" s="4"/>
      <c r="Q172" s="2"/>
      <c r="R172" s="2"/>
      <c r="S172" s="4">
        <v>2</v>
      </c>
    </row>
    <row r="173" spans="1:19">
      <c r="A173">
        <v>74</v>
      </c>
      <c r="B173" s="1">
        <v>45468.364722222199</v>
      </c>
      <c r="C173" s="1">
        <v>45468.379085648201</v>
      </c>
      <c r="D173" s="2" t="s">
        <v>19</v>
      </c>
      <c r="E173" s="2"/>
      <c r="F173" s="2" t="s">
        <v>22</v>
      </c>
      <c r="G173" s="2"/>
      <c r="H173" s="2" t="s">
        <v>49</v>
      </c>
      <c r="I173" t="str">
        <f>OfficeForms.Table[[#This Row],[Gruppe Blau]]&amp;OfficeForms.Table[[#This Row],[Gruppe Grün]]</f>
        <v>Igel grün</v>
      </c>
      <c r="J173" s="2" t="s">
        <v>18</v>
      </c>
      <c r="O173" s="2"/>
      <c r="P173" s="4"/>
      <c r="Q173" s="2"/>
      <c r="R173" s="2"/>
      <c r="S173" s="4">
        <v>1</v>
      </c>
    </row>
    <row r="174" spans="1:19">
      <c r="A174">
        <v>77</v>
      </c>
      <c r="B174" s="1">
        <v>45468.379120370402</v>
      </c>
      <c r="C174" s="1">
        <v>45468.380347222199</v>
      </c>
      <c r="D174" s="2" t="s">
        <v>19</v>
      </c>
      <c r="E174" s="2"/>
      <c r="F174" s="2" t="s">
        <v>20</v>
      </c>
      <c r="G174" s="2" t="s">
        <v>32</v>
      </c>
      <c r="H174" s="2"/>
      <c r="I174" t="str">
        <f>OfficeForms.Table[[#This Row],[Gruppe Blau]]&amp;OfficeForms.Table[[#This Row],[Gruppe Grün]]</f>
        <v>Igel blau</v>
      </c>
      <c r="J174" s="2" t="s">
        <v>18</v>
      </c>
      <c r="O174" s="2"/>
      <c r="P174" s="4"/>
      <c r="Q174" s="2"/>
      <c r="R174" s="2"/>
      <c r="S174" s="4">
        <v>1</v>
      </c>
    </row>
    <row r="175" spans="1:19">
      <c r="A175">
        <v>188</v>
      </c>
      <c r="B175" s="1">
        <v>45468.4437384259</v>
      </c>
      <c r="C175" s="1">
        <v>45468.444120370397</v>
      </c>
      <c r="D175" s="2" t="s">
        <v>19</v>
      </c>
      <c r="E175" s="2"/>
      <c r="F175" s="2" t="s">
        <v>22</v>
      </c>
      <c r="G175" s="2"/>
      <c r="H175" s="2" t="s">
        <v>52</v>
      </c>
      <c r="I175" t="str">
        <f>OfficeForms.Table[[#This Row],[Gruppe Blau]]&amp;OfficeForms.Table[[#This Row],[Gruppe Grün]]</f>
        <v>Katze grün</v>
      </c>
      <c r="J175" s="2" t="s">
        <v>18</v>
      </c>
      <c r="O175" s="2"/>
      <c r="P175" s="4"/>
      <c r="Q175" s="2"/>
      <c r="R175" s="2"/>
      <c r="S175" s="4">
        <v>0</v>
      </c>
    </row>
    <row r="176" spans="1:19">
      <c r="A176">
        <v>122</v>
      </c>
      <c r="B176" s="1">
        <v>45468.395081018498</v>
      </c>
      <c r="C176" s="1">
        <v>45468.404745370397</v>
      </c>
      <c r="D176" s="2" t="s">
        <v>19</v>
      </c>
      <c r="E176" s="2"/>
      <c r="F176" s="2" t="s">
        <v>20</v>
      </c>
      <c r="G176" s="2" t="s">
        <v>37</v>
      </c>
      <c r="H176" s="2"/>
      <c r="I176" t="str">
        <f>OfficeForms.Table[[#This Row],[Gruppe Blau]]&amp;OfficeForms.Table[[#This Row],[Gruppe Grün]]</f>
        <v>Katze blau</v>
      </c>
      <c r="J176" s="2" t="s">
        <v>18</v>
      </c>
      <c r="O176" s="2"/>
      <c r="P176" s="4"/>
      <c r="Q176" s="2"/>
      <c r="R176" s="2"/>
      <c r="S176" s="4">
        <v>0</v>
      </c>
    </row>
    <row r="177" spans="1:19">
      <c r="A177">
        <v>124</v>
      </c>
      <c r="B177" s="1">
        <v>45468.404837962997</v>
      </c>
      <c r="C177" s="1">
        <v>45468.406574074099</v>
      </c>
      <c r="D177" s="2" t="s">
        <v>19</v>
      </c>
      <c r="E177" s="2"/>
      <c r="F177" s="2" t="s">
        <v>20</v>
      </c>
      <c r="G177" s="2" t="s">
        <v>37</v>
      </c>
      <c r="H177" s="2"/>
      <c r="I177" t="str">
        <f>OfficeForms.Table[[#This Row],[Gruppe Blau]]&amp;OfficeForms.Table[[#This Row],[Gruppe Grün]]</f>
        <v>Katze blau</v>
      </c>
      <c r="J177" s="2" t="s">
        <v>18</v>
      </c>
      <c r="O177" s="2"/>
      <c r="P177" s="4"/>
      <c r="Q177" s="2"/>
      <c r="R177" s="2"/>
      <c r="S177" s="4">
        <v>3</v>
      </c>
    </row>
    <row r="178" spans="1:19">
      <c r="A178">
        <v>178</v>
      </c>
      <c r="B178" s="1">
        <v>45468.440787036998</v>
      </c>
      <c r="C178" s="1">
        <v>45468.441053240698</v>
      </c>
      <c r="D178" s="2" t="s">
        <v>19</v>
      </c>
      <c r="E178" s="2"/>
      <c r="F178" s="2" t="s">
        <v>20</v>
      </c>
      <c r="G178" s="2" t="s">
        <v>37</v>
      </c>
      <c r="H178" s="2"/>
      <c r="I178" t="str">
        <f>OfficeForms.Table[[#This Row],[Gruppe Blau]]&amp;OfficeForms.Table[[#This Row],[Gruppe Grün]]</f>
        <v>Katze blau</v>
      </c>
      <c r="J178" s="2" t="s">
        <v>18</v>
      </c>
      <c r="O178" s="2"/>
      <c r="P178" s="4"/>
      <c r="Q178" s="2"/>
      <c r="R178" s="2"/>
      <c r="S178" s="4">
        <v>0</v>
      </c>
    </row>
    <row r="179" spans="1:19">
      <c r="A179">
        <v>253</v>
      </c>
      <c r="B179" s="1">
        <v>45468.473958333299</v>
      </c>
      <c r="C179" s="1">
        <v>45468.484398148197</v>
      </c>
      <c r="D179" s="2" t="s">
        <v>19</v>
      </c>
      <c r="E179" s="2"/>
      <c r="F179" s="2" t="s">
        <v>22</v>
      </c>
      <c r="G179" s="2"/>
      <c r="H179" s="2" t="s">
        <v>23</v>
      </c>
      <c r="I179" t="str">
        <f>OfficeForms.Table[[#This Row],[Gruppe Blau]]&amp;OfficeForms.Table[[#This Row],[Gruppe Grün]]</f>
        <v>Krebs grün</v>
      </c>
      <c r="J179" s="2" t="s">
        <v>18</v>
      </c>
      <c r="O179" s="2"/>
      <c r="P179" s="4"/>
      <c r="Q179" s="2"/>
      <c r="R179" s="2"/>
      <c r="S179" s="4">
        <v>3</v>
      </c>
    </row>
    <row r="180" spans="1:19">
      <c r="A180">
        <v>263</v>
      </c>
      <c r="B180" s="1">
        <v>45468.484675925902</v>
      </c>
      <c r="C180" s="1">
        <v>45468.487951388903</v>
      </c>
      <c r="D180" s="2" t="s">
        <v>19</v>
      </c>
      <c r="E180" s="2"/>
      <c r="F180" s="2" t="s">
        <v>20</v>
      </c>
      <c r="G180" s="2" t="s">
        <v>26</v>
      </c>
      <c r="H180" s="2"/>
      <c r="I180" t="str">
        <f>OfficeForms.Table[[#This Row],[Gruppe Blau]]&amp;OfficeForms.Table[[#This Row],[Gruppe Grün]]</f>
        <v>Krebs blau</v>
      </c>
      <c r="J180" s="2" t="s">
        <v>18</v>
      </c>
      <c r="O180" s="2"/>
      <c r="P180" s="4"/>
      <c r="Q180" s="2"/>
      <c r="R180" s="2"/>
      <c r="S180" s="4">
        <v>1</v>
      </c>
    </row>
    <row r="181" spans="1:19">
      <c r="A181">
        <v>196</v>
      </c>
      <c r="B181" s="1">
        <v>45468.450590277796</v>
      </c>
      <c r="C181" s="1">
        <v>45468.450937499998</v>
      </c>
      <c r="D181" s="2" t="s">
        <v>19</v>
      </c>
      <c r="E181" s="2"/>
      <c r="F181" s="2" t="s">
        <v>22</v>
      </c>
      <c r="G181" s="2"/>
      <c r="H181" s="2" t="s">
        <v>38</v>
      </c>
      <c r="I181" t="str">
        <f>OfficeForms.Table[[#This Row],[Gruppe Blau]]&amp;OfficeForms.Table[[#This Row],[Gruppe Grün]]</f>
        <v>Nilpferd grün</v>
      </c>
      <c r="J181" s="2" t="s">
        <v>18</v>
      </c>
      <c r="O181" s="2"/>
      <c r="P181" s="4"/>
      <c r="Q181" s="2"/>
      <c r="R181" s="2"/>
      <c r="S181" s="4">
        <v>1</v>
      </c>
    </row>
    <row r="182" spans="1:19">
      <c r="A182">
        <v>198</v>
      </c>
      <c r="B182" s="1">
        <v>45468.452384259297</v>
      </c>
      <c r="C182" s="1">
        <v>45468.452789351897</v>
      </c>
      <c r="D182" s="2" t="s">
        <v>19</v>
      </c>
      <c r="E182" s="2"/>
      <c r="F182" s="2" t="s">
        <v>22</v>
      </c>
      <c r="G182" s="2"/>
      <c r="H182" s="2" t="s">
        <v>38</v>
      </c>
      <c r="I182" t="str">
        <f>OfficeForms.Table[[#This Row],[Gruppe Blau]]&amp;OfficeForms.Table[[#This Row],[Gruppe Grün]]</f>
        <v>Nilpferd grün</v>
      </c>
      <c r="J182" s="2" t="s">
        <v>18</v>
      </c>
      <c r="O182" s="2"/>
      <c r="P182" s="4"/>
      <c r="Q182" s="2"/>
      <c r="R182" s="2"/>
      <c r="S182" s="4">
        <v>0</v>
      </c>
    </row>
    <row r="183" spans="1:19">
      <c r="A183">
        <v>211</v>
      </c>
      <c r="B183" s="1">
        <v>45468.453599537002</v>
      </c>
      <c r="C183" s="1">
        <v>45468.456400463001</v>
      </c>
      <c r="D183" s="2" t="s">
        <v>19</v>
      </c>
      <c r="E183" s="2"/>
      <c r="F183" s="2" t="s">
        <v>20</v>
      </c>
      <c r="G183" s="2" t="s">
        <v>27</v>
      </c>
      <c r="H183" s="2"/>
      <c r="I183" t="str">
        <f>OfficeForms.Table[[#This Row],[Gruppe Blau]]&amp;OfficeForms.Table[[#This Row],[Gruppe Grün]]</f>
        <v>Panda blau</v>
      </c>
      <c r="J183" s="2" t="s">
        <v>18</v>
      </c>
      <c r="O183" s="2"/>
      <c r="P183" s="4"/>
      <c r="Q183" s="2"/>
      <c r="R183" s="2"/>
      <c r="S183" s="4">
        <v>2</v>
      </c>
    </row>
    <row r="184" spans="1:19">
      <c r="A184">
        <v>228</v>
      </c>
      <c r="B184" s="1">
        <v>45468.469270833302</v>
      </c>
      <c r="C184" s="1">
        <v>45468.471145833297</v>
      </c>
      <c r="D184" s="2" t="s">
        <v>19</v>
      </c>
      <c r="E184" s="2"/>
      <c r="F184" s="2" t="s">
        <v>22</v>
      </c>
      <c r="G184" s="2"/>
      <c r="H184" s="2" t="s">
        <v>29</v>
      </c>
      <c r="I184" t="str">
        <f>OfficeForms.Table[[#This Row],[Gruppe Blau]]&amp;OfficeForms.Table[[#This Row],[Gruppe Grün]]</f>
        <v>Schaf grün</v>
      </c>
      <c r="J184" s="2" t="s">
        <v>18</v>
      </c>
      <c r="O184" s="2"/>
      <c r="P184" s="4"/>
      <c r="Q184" s="2"/>
      <c r="R184" s="2"/>
      <c r="S184" s="4">
        <v>0</v>
      </c>
    </row>
    <row r="185" spans="1:19">
      <c r="A185">
        <v>237</v>
      </c>
      <c r="B185" s="1">
        <v>45468.471168981501</v>
      </c>
      <c r="C185" s="1">
        <v>45468.473923611098</v>
      </c>
      <c r="D185" s="2" t="s">
        <v>19</v>
      </c>
      <c r="E185" s="2"/>
      <c r="F185" s="2" t="s">
        <v>20</v>
      </c>
      <c r="G185" s="2" t="s">
        <v>42</v>
      </c>
      <c r="H185" s="2"/>
      <c r="I185" t="str">
        <f>OfficeForms.Table[[#This Row],[Gruppe Blau]]&amp;OfficeForms.Table[[#This Row],[Gruppe Grün]]</f>
        <v>Schaf blau</v>
      </c>
      <c r="J185" s="2" t="s">
        <v>18</v>
      </c>
      <c r="O185" s="2"/>
      <c r="P185" s="4"/>
      <c r="Q185" s="2"/>
      <c r="R185" s="2"/>
      <c r="S185" s="4">
        <v>3</v>
      </c>
    </row>
    <row r="186" spans="1:19">
      <c r="A186">
        <v>262</v>
      </c>
      <c r="B186" s="1">
        <v>45468.486168981501</v>
      </c>
      <c r="C186" s="1">
        <v>45468.487858796303</v>
      </c>
      <c r="D186" s="2" t="s">
        <v>19</v>
      </c>
      <c r="E186" s="2"/>
      <c r="F186" s="2" t="s">
        <v>22</v>
      </c>
      <c r="G186" s="2"/>
      <c r="H186" s="2" t="s">
        <v>30</v>
      </c>
      <c r="I186" t="str">
        <f>OfficeForms.Table[[#This Row],[Gruppe Blau]]&amp;OfficeForms.Table[[#This Row],[Gruppe Grün]]</f>
        <v>Schildkröte grün</v>
      </c>
      <c r="J186" s="2" t="s">
        <v>18</v>
      </c>
      <c r="O186" s="2"/>
      <c r="P186" s="4"/>
      <c r="Q186" s="2"/>
      <c r="R186" s="2"/>
      <c r="S186" s="4">
        <v>2</v>
      </c>
    </row>
    <row r="187" spans="1:19">
      <c r="A187">
        <v>258</v>
      </c>
      <c r="B187" s="1">
        <v>45468.4858564815</v>
      </c>
      <c r="C187" s="1">
        <v>45468.486134259299</v>
      </c>
      <c r="D187" s="2" t="s">
        <v>19</v>
      </c>
      <c r="E187" s="2"/>
      <c r="F187" s="2" t="s">
        <v>20</v>
      </c>
      <c r="G187" s="2" t="s">
        <v>43</v>
      </c>
      <c r="H187" s="2"/>
      <c r="I187" t="str">
        <f>OfficeForms.Table[[#This Row],[Gruppe Blau]]&amp;OfficeForms.Table[[#This Row],[Gruppe Grün]]</f>
        <v>Schildkröte blau</v>
      </c>
      <c r="J187" s="2" t="s">
        <v>18</v>
      </c>
      <c r="O187" s="2"/>
      <c r="P187" s="4"/>
      <c r="Q187" s="2"/>
      <c r="R187" s="2"/>
      <c r="S187" s="4">
        <v>1</v>
      </c>
    </row>
    <row r="188" spans="1:19">
      <c r="A188">
        <v>99</v>
      </c>
      <c r="B188" s="1">
        <v>45468.3804282407</v>
      </c>
      <c r="C188" s="1">
        <v>45468.393263888902</v>
      </c>
      <c r="D188" s="2" t="s">
        <v>19</v>
      </c>
      <c r="E188" s="2"/>
      <c r="F188" s="2" t="s">
        <v>22</v>
      </c>
      <c r="G188" s="2"/>
      <c r="H188" s="2" t="s">
        <v>51</v>
      </c>
      <c r="I188" t="str">
        <f>OfficeForms.Table[[#This Row],[Gruppe Blau]]&amp;OfficeForms.Table[[#This Row],[Gruppe Grün]]</f>
        <v>Schlange grün</v>
      </c>
      <c r="J188" s="2" t="s">
        <v>18</v>
      </c>
      <c r="O188" s="2"/>
      <c r="P188" s="4"/>
      <c r="Q188" s="2"/>
      <c r="R188" s="2"/>
      <c r="S188" s="4">
        <v>1</v>
      </c>
    </row>
    <row r="189" spans="1:19">
      <c r="A189">
        <v>106</v>
      </c>
      <c r="B189" s="1">
        <v>45468.393333333297</v>
      </c>
      <c r="C189" s="1">
        <v>45468.394965277803</v>
      </c>
      <c r="D189" s="2" t="s">
        <v>19</v>
      </c>
      <c r="E189" s="2"/>
      <c r="F189" s="2" t="s">
        <v>20</v>
      </c>
      <c r="G189" s="2" t="s">
        <v>39</v>
      </c>
      <c r="H189" s="2"/>
      <c r="I189" t="str">
        <f>OfficeForms.Table[[#This Row],[Gruppe Blau]]&amp;OfficeForms.Table[[#This Row],[Gruppe Grün]]</f>
        <v>Schlange blau</v>
      </c>
      <c r="J189" s="2" t="s">
        <v>18</v>
      </c>
      <c r="O189" s="2"/>
      <c r="P189" s="4"/>
      <c r="Q189" s="2"/>
      <c r="R189" s="2"/>
      <c r="S189" s="4">
        <v>2</v>
      </c>
    </row>
    <row r="190" spans="1:19">
      <c r="A190">
        <v>185</v>
      </c>
      <c r="B190" s="1">
        <v>45468.406678240703</v>
      </c>
      <c r="C190" s="1">
        <v>45468.442557870403</v>
      </c>
      <c r="D190" s="2" t="s">
        <v>19</v>
      </c>
      <c r="E190" s="2"/>
      <c r="F190" s="2" t="s">
        <v>22</v>
      </c>
      <c r="G190" s="2"/>
      <c r="H190" s="2" t="s">
        <v>44</v>
      </c>
      <c r="I190" t="str">
        <f>OfficeForms.Table[[#This Row],[Gruppe Blau]]&amp;OfficeForms.Table[[#This Row],[Gruppe Grün]]</f>
        <v>Schmetterling grün</v>
      </c>
      <c r="J190" s="2" t="s">
        <v>18</v>
      </c>
      <c r="O190" s="2"/>
      <c r="P190" s="4"/>
      <c r="Q190" s="2"/>
      <c r="R190" s="2"/>
      <c r="S190" s="4">
        <v>1</v>
      </c>
    </row>
    <row r="191" spans="1:19">
      <c r="A191">
        <v>189</v>
      </c>
      <c r="B191" s="1">
        <v>45468.442962963003</v>
      </c>
      <c r="C191" s="1">
        <v>45468.444710648197</v>
      </c>
      <c r="D191" s="2" t="s">
        <v>19</v>
      </c>
      <c r="E191" s="2"/>
      <c r="F191" s="2" t="s">
        <v>20</v>
      </c>
      <c r="G191" s="2" t="s">
        <v>40</v>
      </c>
      <c r="H191" s="2"/>
      <c r="I191" t="str">
        <f>OfficeForms.Table[[#This Row],[Gruppe Blau]]&amp;OfficeForms.Table[[#This Row],[Gruppe Grün]]</f>
        <v>Schmetterling blau</v>
      </c>
      <c r="J191" s="2" t="s">
        <v>18</v>
      </c>
      <c r="O191" s="2"/>
      <c r="P191" s="4"/>
      <c r="Q191" s="2"/>
      <c r="R191" s="2"/>
      <c r="S191" s="4">
        <v>0</v>
      </c>
    </row>
    <row r="192" spans="1:19">
      <c r="A192">
        <v>275</v>
      </c>
      <c r="B192" s="1">
        <v>45468.495451388902</v>
      </c>
      <c r="C192" s="1">
        <v>45468.495555555601</v>
      </c>
      <c r="D192" s="2" t="s">
        <v>19</v>
      </c>
      <c r="E192" s="2"/>
      <c r="F192" s="2" t="s">
        <v>20</v>
      </c>
      <c r="G192" s="2" t="s">
        <v>36</v>
      </c>
      <c r="H192" s="2"/>
      <c r="I192" t="str">
        <f>OfficeForms.Table[[#This Row],[Gruppe Blau]]&amp;OfficeForms.Table[[#This Row],[Gruppe Grün]]</f>
        <v>Affe blau</v>
      </c>
      <c r="J192" s="2" t="s">
        <v>14</v>
      </c>
      <c r="O192" s="2">
        <v>18</v>
      </c>
      <c r="P192" s="4"/>
      <c r="Q192" s="2"/>
      <c r="R192" s="2"/>
      <c r="S192" s="4"/>
    </row>
    <row r="193" spans="1:19">
      <c r="A193">
        <v>274</v>
      </c>
      <c r="B193" s="1">
        <v>45468.495300925897</v>
      </c>
      <c r="C193" s="1">
        <v>45468.495393518497</v>
      </c>
      <c r="D193" s="2" t="s">
        <v>19</v>
      </c>
      <c r="E193" s="2"/>
      <c r="F193" s="2" t="s">
        <v>22</v>
      </c>
      <c r="G193" s="2"/>
      <c r="H193" s="2" t="s">
        <v>28</v>
      </c>
      <c r="I193" t="str">
        <f>OfficeForms.Table[[#This Row],[Gruppe Blau]]&amp;OfficeForms.Table[[#This Row],[Gruppe Grün]]</f>
        <v>Affe grün</v>
      </c>
      <c r="J193" s="2" t="s">
        <v>14</v>
      </c>
      <c r="O193" s="2">
        <v>12</v>
      </c>
      <c r="P193" s="4"/>
      <c r="Q193" s="2"/>
      <c r="R193" s="2"/>
      <c r="S193" s="4"/>
    </row>
    <row r="194" spans="1:19">
      <c r="A194">
        <v>153</v>
      </c>
      <c r="B194" s="1">
        <v>45468.417210648098</v>
      </c>
      <c r="C194" s="1">
        <v>45468.417384259301</v>
      </c>
      <c r="D194" s="2" t="s">
        <v>19</v>
      </c>
      <c r="E194" s="2"/>
      <c r="F194" s="2" t="s">
        <v>20</v>
      </c>
      <c r="G194" s="2" t="s">
        <v>47</v>
      </c>
      <c r="H194" s="2"/>
      <c r="I194" t="str">
        <f>OfficeForms.Table[[#This Row],[Gruppe Blau]]&amp;OfficeForms.Table[[#This Row],[Gruppe Grün]]</f>
        <v>Delfin blau</v>
      </c>
      <c r="J194" s="2" t="s">
        <v>14</v>
      </c>
      <c r="O194" s="2">
        <v>13</v>
      </c>
      <c r="P194" s="4"/>
      <c r="Q194" s="2"/>
      <c r="R194" s="2"/>
      <c r="S194" s="4"/>
    </row>
    <row r="195" spans="1:19">
      <c r="A195">
        <v>154</v>
      </c>
      <c r="B195" s="1">
        <v>45468.417442129597</v>
      </c>
      <c r="C195" s="1">
        <v>45468.417534722197</v>
      </c>
      <c r="D195" s="2" t="s">
        <v>19</v>
      </c>
      <c r="E195" s="2"/>
      <c r="F195" s="2" t="s">
        <v>22</v>
      </c>
      <c r="G195" s="2"/>
      <c r="H195" s="2" t="s">
        <v>33</v>
      </c>
      <c r="I195" t="str">
        <f>OfficeForms.Table[[#This Row],[Gruppe Blau]]&amp;OfficeForms.Table[[#This Row],[Gruppe Grün]]</f>
        <v>Delfin grün</v>
      </c>
      <c r="J195" s="2" t="s">
        <v>14</v>
      </c>
      <c r="O195" s="2">
        <v>12</v>
      </c>
      <c r="P195" s="4"/>
      <c r="Q195" s="2"/>
      <c r="R195" s="2"/>
      <c r="S195" s="4"/>
    </row>
    <row r="196" spans="1:19">
      <c r="A196">
        <v>149</v>
      </c>
      <c r="B196" s="1">
        <v>45468.416527777801</v>
      </c>
      <c r="C196" s="1">
        <v>45468.416643518503</v>
      </c>
      <c r="D196" s="2" t="s">
        <v>19</v>
      </c>
      <c r="E196" s="2"/>
      <c r="F196" s="2" t="s">
        <v>22</v>
      </c>
      <c r="G196" s="2"/>
      <c r="H196" s="2" t="s">
        <v>34</v>
      </c>
      <c r="I196" t="str">
        <f>OfficeForms.Table[[#This Row],[Gruppe Blau]]&amp;OfficeForms.Table[[#This Row],[Gruppe Grün]]</f>
        <v>Elefant grün</v>
      </c>
      <c r="J196" s="2" t="s">
        <v>14</v>
      </c>
      <c r="O196" s="2">
        <v>10</v>
      </c>
      <c r="P196" s="4"/>
      <c r="Q196" s="2"/>
      <c r="R196" s="2"/>
      <c r="S196" s="4"/>
    </row>
    <row r="197" spans="1:19">
      <c r="A197">
        <v>150</v>
      </c>
      <c r="B197" s="1">
        <v>45468.416712963</v>
      </c>
      <c r="C197" s="1">
        <v>45468.416863425897</v>
      </c>
      <c r="D197" s="2" t="s">
        <v>19</v>
      </c>
      <c r="E197" s="2"/>
      <c r="F197" s="2" t="s">
        <v>20</v>
      </c>
      <c r="G197" s="2" t="s">
        <v>48</v>
      </c>
      <c r="H197" s="2"/>
      <c r="I197" t="str">
        <f>OfficeForms.Table[[#This Row],[Gruppe Blau]]&amp;OfficeForms.Table[[#This Row],[Gruppe Grün]]</f>
        <v>Elefant blau</v>
      </c>
      <c r="J197" s="2" t="s">
        <v>14</v>
      </c>
      <c r="O197" s="2">
        <v>19</v>
      </c>
      <c r="P197" s="4"/>
      <c r="Q197" s="2"/>
      <c r="R197" s="2"/>
      <c r="S197" s="4"/>
    </row>
    <row r="198" spans="1:19">
      <c r="A198">
        <v>280</v>
      </c>
      <c r="B198" s="1">
        <v>45468.496423611097</v>
      </c>
      <c r="C198" s="1">
        <v>45468.496550925898</v>
      </c>
      <c r="D198" s="2" t="s">
        <v>19</v>
      </c>
      <c r="E198" s="2"/>
      <c r="F198" s="2" t="s">
        <v>22</v>
      </c>
      <c r="G198" s="2"/>
      <c r="H198" s="2" t="s">
        <v>24</v>
      </c>
      <c r="I198" t="str">
        <f>OfficeForms.Table[[#This Row],[Gruppe Blau]]&amp;OfficeForms.Table[[#This Row],[Gruppe Grün]]</f>
        <v>Eule grün</v>
      </c>
      <c r="J198" s="2" t="s">
        <v>14</v>
      </c>
      <c r="O198" s="2">
        <v>15</v>
      </c>
      <c r="P198" s="4"/>
      <c r="Q198" s="2"/>
      <c r="R198" s="2"/>
      <c r="S198" s="4"/>
    </row>
    <row r="199" spans="1:19">
      <c r="A199">
        <v>282</v>
      </c>
      <c r="B199" s="1">
        <v>45468.496562499997</v>
      </c>
      <c r="C199" s="1">
        <v>45468.496736111098</v>
      </c>
      <c r="D199" s="2" t="s">
        <v>19</v>
      </c>
      <c r="E199" s="2"/>
      <c r="F199" s="2" t="s">
        <v>20</v>
      </c>
      <c r="G199" s="2" t="s">
        <v>46</v>
      </c>
      <c r="H199" s="2"/>
      <c r="I199" t="str">
        <f>OfficeForms.Table[[#This Row],[Gruppe Blau]]&amp;OfficeForms.Table[[#This Row],[Gruppe Grün]]</f>
        <v>Eule blau</v>
      </c>
      <c r="J199" s="2" t="s">
        <v>14</v>
      </c>
      <c r="O199" s="2">
        <v>14</v>
      </c>
      <c r="P199" s="4"/>
      <c r="Q199" s="2"/>
      <c r="R199" s="2"/>
      <c r="S199" s="4"/>
    </row>
    <row r="200" spans="1:19">
      <c r="A200">
        <v>284</v>
      </c>
      <c r="B200" s="1">
        <v>45468.496805555602</v>
      </c>
      <c r="C200" s="1">
        <v>45468.496909722198</v>
      </c>
      <c r="D200" s="2" t="s">
        <v>19</v>
      </c>
      <c r="E200" s="2"/>
      <c r="F200" s="2" t="s">
        <v>22</v>
      </c>
      <c r="G200" s="2"/>
      <c r="H200" s="2" t="s">
        <v>25</v>
      </c>
      <c r="I200" t="str">
        <f>OfficeForms.Table[[#This Row],[Gruppe Blau]]&amp;OfficeForms.Table[[#This Row],[Gruppe Grün]]</f>
        <v>Fuchs grün</v>
      </c>
      <c r="J200" s="2" t="s">
        <v>14</v>
      </c>
      <c r="O200" s="2">
        <v>13</v>
      </c>
      <c r="P200" s="4"/>
      <c r="Q200" s="2"/>
      <c r="R200" s="2"/>
      <c r="S200" s="4"/>
    </row>
    <row r="201" spans="1:19">
      <c r="A201">
        <v>285</v>
      </c>
      <c r="B201" s="1">
        <v>45468.496921296297</v>
      </c>
      <c r="C201" s="1">
        <v>45468.497025463003</v>
      </c>
      <c r="D201" s="2" t="s">
        <v>19</v>
      </c>
      <c r="E201" s="2"/>
      <c r="F201" s="2" t="s">
        <v>20</v>
      </c>
      <c r="G201" s="2" t="s">
        <v>53</v>
      </c>
      <c r="H201" s="2"/>
      <c r="I201" t="str">
        <f>OfficeForms.Table[[#This Row],[Gruppe Blau]]&amp;OfficeForms.Table[[#This Row],[Gruppe Grün]]</f>
        <v>Fuchs blau</v>
      </c>
      <c r="J201" s="2" t="s">
        <v>14</v>
      </c>
      <c r="O201" s="2">
        <v>16</v>
      </c>
      <c r="P201" s="4"/>
      <c r="Q201" s="2"/>
      <c r="R201" s="2"/>
      <c r="S201" s="4"/>
    </row>
    <row r="202" spans="1:19">
      <c r="A202">
        <v>145</v>
      </c>
      <c r="B202" s="1">
        <v>45468.415416666699</v>
      </c>
      <c r="C202" s="1">
        <v>45468.4156828704</v>
      </c>
      <c r="D202" s="2" t="s">
        <v>19</v>
      </c>
      <c r="E202" s="2"/>
      <c r="F202" s="2" t="s">
        <v>22</v>
      </c>
      <c r="G202" s="2"/>
      <c r="H202" s="2" t="s">
        <v>31</v>
      </c>
      <c r="I202" t="str">
        <f>OfficeForms.Table[[#This Row],[Gruppe Blau]]&amp;OfficeForms.Table[[#This Row],[Gruppe Grün]]</f>
        <v>Giraffe grün</v>
      </c>
      <c r="J202" s="2" t="s">
        <v>14</v>
      </c>
      <c r="O202" s="2">
        <v>12</v>
      </c>
      <c r="P202" s="4"/>
      <c r="Q202" s="2"/>
      <c r="R202" s="2"/>
      <c r="S202" s="4"/>
    </row>
    <row r="203" spans="1:19">
      <c r="A203">
        <v>144</v>
      </c>
      <c r="B203" s="1">
        <v>45468.4149189815</v>
      </c>
      <c r="C203" s="1">
        <v>45468.4152777778</v>
      </c>
      <c r="D203" s="2" t="s">
        <v>19</v>
      </c>
      <c r="E203" s="2"/>
      <c r="F203" s="2" t="s">
        <v>20</v>
      </c>
      <c r="G203" s="2" t="s">
        <v>21</v>
      </c>
      <c r="H203" s="2"/>
      <c r="I203" t="str">
        <f>OfficeForms.Table[[#This Row],[Gruppe Blau]]&amp;OfficeForms.Table[[#This Row],[Gruppe Grün]]</f>
        <v>Giraffe blau</v>
      </c>
      <c r="J203" s="2" t="s">
        <v>14</v>
      </c>
      <c r="O203" s="2">
        <v>12</v>
      </c>
      <c r="P203" s="4"/>
      <c r="Q203" s="2"/>
      <c r="R203" s="2"/>
      <c r="S203" s="4"/>
    </row>
    <row r="204" spans="1:19">
      <c r="A204">
        <v>146</v>
      </c>
      <c r="B204" s="1">
        <v>45468.415763888901</v>
      </c>
      <c r="C204" s="1">
        <v>45468.415902777801</v>
      </c>
      <c r="D204" s="2" t="s">
        <v>19</v>
      </c>
      <c r="E204" s="2"/>
      <c r="F204" s="2" t="s">
        <v>22</v>
      </c>
      <c r="G204" s="2"/>
      <c r="H204" s="2" t="s">
        <v>49</v>
      </c>
      <c r="I204" t="str">
        <f>OfficeForms.Table[[#This Row],[Gruppe Blau]]&amp;OfficeForms.Table[[#This Row],[Gruppe Grün]]</f>
        <v>Igel grün</v>
      </c>
      <c r="J204" s="2" t="s">
        <v>14</v>
      </c>
      <c r="O204" s="2">
        <v>16</v>
      </c>
      <c r="P204" s="4"/>
      <c r="Q204" s="2"/>
      <c r="R204" s="2"/>
      <c r="S204" s="4"/>
    </row>
    <row r="205" spans="1:19">
      <c r="A205">
        <v>143</v>
      </c>
      <c r="B205" s="1">
        <v>45468.414618055598</v>
      </c>
      <c r="C205" s="1">
        <v>45468.4148263889</v>
      </c>
      <c r="D205" s="2" t="s">
        <v>19</v>
      </c>
      <c r="E205" s="2"/>
      <c r="F205" s="2" t="s">
        <v>20</v>
      </c>
      <c r="G205" s="2" t="s">
        <v>32</v>
      </c>
      <c r="H205" s="2"/>
      <c r="I205" t="str">
        <f>OfficeForms.Table[[#This Row],[Gruppe Blau]]&amp;OfficeForms.Table[[#This Row],[Gruppe Grün]]</f>
        <v>Igel blau</v>
      </c>
      <c r="J205" s="2" t="s">
        <v>14</v>
      </c>
      <c r="O205" s="2">
        <v>11</v>
      </c>
      <c r="P205" s="4"/>
      <c r="Q205" s="2"/>
      <c r="R205" s="2"/>
      <c r="S205" s="4"/>
    </row>
    <row r="206" spans="1:19">
      <c r="A206">
        <v>152</v>
      </c>
      <c r="B206" s="1">
        <v>45468.417083333297</v>
      </c>
      <c r="C206" s="1">
        <v>45468.417175925897</v>
      </c>
      <c r="D206" s="2" t="s">
        <v>19</v>
      </c>
      <c r="E206" s="2"/>
      <c r="F206" s="2" t="s">
        <v>22</v>
      </c>
      <c r="G206" s="2"/>
      <c r="H206" s="2" t="s">
        <v>52</v>
      </c>
      <c r="I206" t="str">
        <f>OfficeForms.Table[[#This Row],[Gruppe Blau]]&amp;OfficeForms.Table[[#This Row],[Gruppe Grün]]</f>
        <v>Katze grün</v>
      </c>
      <c r="J206" s="2" t="s">
        <v>14</v>
      </c>
      <c r="O206" s="2">
        <v>19</v>
      </c>
      <c r="P206" s="4"/>
      <c r="Q206" s="2"/>
      <c r="R206" s="2"/>
      <c r="S206" s="4"/>
    </row>
    <row r="207" spans="1:19">
      <c r="A207">
        <v>151</v>
      </c>
      <c r="B207" s="1">
        <v>45468.416909722197</v>
      </c>
      <c r="C207" s="1">
        <v>45468.417037036997</v>
      </c>
      <c r="D207" s="2" t="s">
        <v>19</v>
      </c>
      <c r="E207" s="2"/>
      <c r="F207" s="2" t="s">
        <v>20</v>
      </c>
      <c r="G207" s="2" t="s">
        <v>37</v>
      </c>
      <c r="H207" s="2"/>
      <c r="I207" t="str">
        <f>OfficeForms.Table[[#This Row],[Gruppe Blau]]&amp;OfficeForms.Table[[#This Row],[Gruppe Grün]]</f>
        <v>Katze blau</v>
      </c>
      <c r="J207" s="2" t="s">
        <v>14</v>
      </c>
      <c r="O207" s="2">
        <v>11</v>
      </c>
      <c r="P207" s="4"/>
      <c r="Q207" s="2"/>
      <c r="R207" s="2"/>
      <c r="S207" s="4"/>
    </row>
    <row r="208" spans="1:19">
      <c r="A208">
        <v>277</v>
      </c>
      <c r="B208" s="1">
        <v>45468.495891203696</v>
      </c>
      <c r="C208" s="1">
        <v>45468.496006944399</v>
      </c>
      <c r="D208" s="2" t="s">
        <v>19</v>
      </c>
      <c r="E208" s="2"/>
      <c r="F208" s="2" t="s">
        <v>22</v>
      </c>
      <c r="G208" s="2"/>
      <c r="H208" s="2" t="s">
        <v>23</v>
      </c>
      <c r="I208" t="str">
        <f>OfficeForms.Table[[#This Row],[Gruppe Blau]]&amp;OfficeForms.Table[[#This Row],[Gruppe Grün]]</f>
        <v>Krebs grün</v>
      </c>
      <c r="J208" s="2" t="s">
        <v>14</v>
      </c>
      <c r="O208" s="2">
        <v>14</v>
      </c>
      <c r="P208" s="4"/>
      <c r="Q208" s="2"/>
      <c r="R208" s="2"/>
      <c r="S208" s="4"/>
    </row>
    <row r="209" spans="1:19">
      <c r="A209">
        <v>276</v>
      </c>
      <c r="B209" s="1">
        <v>45468.495613425897</v>
      </c>
      <c r="C209" s="1">
        <v>45468.495763888903</v>
      </c>
      <c r="D209" s="2" t="s">
        <v>19</v>
      </c>
      <c r="E209" s="2"/>
      <c r="F209" s="2" t="s">
        <v>20</v>
      </c>
      <c r="G209" s="2" t="s">
        <v>26</v>
      </c>
      <c r="H209" s="2"/>
      <c r="I209" t="str">
        <f>OfficeForms.Table[[#This Row],[Gruppe Blau]]&amp;OfficeForms.Table[[#This Row],[Gruppe Grün]]</f>
        <v>Krebs blau</v>
      </c>
      <c r="J209" s="2" t="s">
        <v>14</v>
      </c>
      <c r="O209" s="2">
        <v>14</v>
      </c>
      <c r="P209" s="4"/>
      <c r="Q209" s="2"/>
      <c r="R209" s="2"/>
      <c r="S209" s="4"/>
    </row>
    <row r="210" spans="1:19">
      <c r="A210">
        <v>268</v>
      </c>
      <c r="B210" s="1">
        <v>45468.4938541667</v>
      </c>
      <c r="C210" s="1">
        <v>45468.493993055599</v>
      </c>
      <c r="D210" s="2" t="s">
        <v>19</v>
      </c>
      <c r="E210" s="2"/>
      <c r="F210" s="2" t="s">
        <v>22</v>
      </c>
      <c r="G210" s="2"/>
      <c r="H210" s="2" t="s">
        <v>38</v>
      </c>
      <c r="I210" t="str">
        <f>OfficeForms.Table[[#This Row],[Gruppe Blau]]&amp;OfficeForms.Table[[#This Row],[Gruppe Grün]]</f>
        <v>Nilpferd grün</v>
      </c>
      <c r="J210" s="2" t="s">
        <v>14</v>
      </c>
      <c r="O210" s="2">
        <v>10</v>
      </c>
      <c r="P210" s="4"/>
      <c r="Q210" s="2"/>
      <c r="R210" s="2"/>
      <c r="S210" s="4"/>
    </row>
    <row r="211" spans="1:19">
      <c r="A211">
        <v>269</v>
      </c>
      <c r="B211" s="1">
        <v>45468.494062500002</v>
      </c>
      <c r="C211" s="1">
        <v>45468.494224536997</v>
      </c>
      <c r="D211" s="2" t="s">
        <v>19</v>
      </c>
      <c r="E211" s="2"/>
      <c r="F211" s="2" t="s">
        <v>20</v>
      </c>
      <c r="G211" s="2" t="s">
        <v>41</v>
      </c>
      <c r="H211" s="2"/>
      <c r="I211" t="str">
        <f>OfficeForms.Table[[#This Row],[Gruppe Blau]]&amp;OfficeForms.Table[[#This Row],[Gruppe Grün]]</f>
        <v>Nilpferd blau</v>
      </c>
      <c r="J211" s="2" t="s">
        <v>14</v>
      </c>
      <c r="O211" s="2">
        <v>14</v>
      </c>
      <c r="P211" s="4"/>
      <c r="Q211" s="2"/>
      <c r="R211" s="2"/>
      <c r="S211" s="4"/>
    </row>
    <row r="212" spans="1:19">
      <c r="A212">
        <v>271</v>
      </c>
      <c r="B212" s="1">
        <v>45468.494502314803</v>
      </c>
      <c r="C212" s="1">
        <v>45468.494814814803</v>
      </c>
      <c r="D212" s="2" t="s">
        <v>19</v>
      </c>
      <c r="E212" s="2"/>
      <c r="F212" s="2" t="s">
        <v>22</v>
      </c>
      <c r="G212" s="2"/>
      <c r="H212" s="2" t="s">
        <v>50</v>
      </c>
      <c r="I212" t="str">
        <f>OfficeForms.Table[[#This Row],[Gruppe Blau]]&amp;OfficeForms.Table[[#This Row],[Gruppe Grün]]</f>
        <v>Panda grün</v>
      </c>
      <c r="J212" s="2" t="s">
        <v>14</v>
      </c>
      <c r="O212" s="2">
        <v>17</v>
      </c>
      <c r="P212" s="4"/>
      <c r="Q212" s="2"/>
      <c r="R212" s="2"/>
      <c r="S212" s="4"/>
    </row>
    <row r="213" spans="1:19">
      <c r="A213">
        <v>270</v>
      </c>
      <c r="B213" s="1">
        <v>45468.494293981501</v>
      </c>
      <c r="C213" s="1">
        <v>45468.4944328704</v>
      </c>
      <c r="D213" s="2" t="s">
        <v>19</v>
      </c>
      <c r="E213" s="2"/>
      <c r="F213" s="2" t="s">
        <v>20</v>
      </c>
      <c r="G213" s="2" t="s">
        <v>27</v>
      </c>
      <c r="H213" s="2"/>
      <c r="I213" t="str">
        <f>OfficeForms.Table[[#This Row],[Gruppe Blau]]&amp;OfficeForms.Table[[#This Row],[Gruppe Grün]]</f>
        <v>Panda blau</v>
      </c>
      <c r="J213" s="2" t="s">
        <v>14</v>
      </c>
      <c r="O213" s="2">
        <v>12</v>
      </c>
      <c r="P213" s="4"/>
      <c r="Q213" s="2"/>
      <c r="R213" s="2"/>
      <c r="S213" s="4"/>
    </row>
    <row r="214" spans="1:19">
      <c r="A214">
        <v>272</v>
      </c>
      <c r="B214" s="1">
        <v>45468.494861111103</v>
      </c>
      <c r="C214" s="1">
        <v>45468.495034722197</v>
      </c>
      <c r="D214" s="2" t="s">
        <v>19</v>
      </c>
      <c r="E214" s="2"/>
      <c r="F214" s="2" t="s">
        <v>22</v>
      </c>
      <c r="G214" s="2"/>
      <c r="H214" s="2" t="s">
        <v>29</v>
      </c>
      <c r="I214" t="str">
        <f>OfficeForms.Table[[#This Row],[Gruppe Blau]]&amp;OfficeForms.Table[[#This Row],[Gruppe Grün]]</f>
        <v>Schaf grün</v>
      </c>
      <c r="J214" s="2" t="s">
        <v>14</v>
      </c>
      <c r="O214" s="2">
        <v>15</v>
      </c>
      <c r="P214" s="4"/>
      <c r="Q214" s="2"/>
      <c r="R214" s="2"/>
      <c r="S214" s="4"/>
    </row>
    <row r="215" spans="1:19">
      <c r="A215">
        <v>273</v>
      </c>
      <c r="B215" s="1">
        <v>45468.495092592602</v>
      </c>
      <c r="C215" s="1">
        <v>45468.495231481502</v>
      </c>
      <c r="D215" s="2" t="s">
        <v>19</v>
      </c>
      <c r="E215" s="2"/>
      <c r="F215" s="2" t="s">
        <v>20</v>
      </c>
      <c r="G215" s="2" t="s">
        <v>42</v>
      </c>
      <c r="H215" s="2"/>
      <c r="I215" t="str">
        <f>OfficeForms.Table[[#This Row],[Gruppe Blau]]&amp;OfficeForms.Table[[#This Row],[Gruppe Grün]]</f>
        <v>Schaf blau</v>
      </c>
      <c r="J215" s="2" t="s">
        <v>14</v>
      </c>
      <c r="O215" s="2">
        <v>11</v>
      </c>
      <c r="P215" s="4"/>
      <c r="Q215" s="2"/>
      <c r="R215" s="2"/>
      <c r="S215" s="4"/>
    </row>
    <row r="216" spans="1:19">
      <c r="A216">
        <v>278</v>
      </c>
      <c r="B216" s="1">
        <v>45468.496041666702</v>
      </c>
      <c r="C216" s="1">
        <v>45468.496180555601</v>
      </c>
      <c r="D216" s="2" t="s">
        <v>19</v>
      </c>
      <c r="E216" s="2"/>
      <c r="F216" s="2" t="s">
        <v>22</v>
      </c>
      <c r="G216" s="2"/>
      <c r="H216" s="2" t="s">
        <v>30</v>
      </c>
      <c r="I216" t="str">
        <f>OfficeForms.Table[[#This Row],[Gruppe Blau]]&amp;OfficeForms.Table[[#This Row],[Gruppe Grün]]</f>
        <v>Schildkröte grün</v>
      </c>
      <c r="J216" s="2" t="s">
        <v>14</v>
      </c>
      <c r="O216" s="2">
        <v>15</v>
      </c>
      <c r="P216" s="4"/>
      <c r="Q216" s="2"/>
      <c r="R216" s="2"/>
      <c r="S216" s="4"/>
    </row>
    <row r="217" spans="1:19">
      <c r="A217">
        <v>279</v>
      </c>
      <c r="B217" s="1">
        <v>45468.496249999997</v>
      </c>
      <c r="C217" s="1">
        <v>45468.496365740699</v>
      </c>
      <c r="D217" s="2" t="s">
        <v>19</v>
      </c>
      <c r="E217" s="2"/>
      <c r="F217" s="2" t="s">
        <v>20</v>
      </c>
      <c r="G217" s="2" t="s">
        <v>43</v>
      </c>
      <c r="H217" s="2"/>
      <c r="I217" t="str">
        <f>OfficeForms.Table[[#This Row],[Gruppe Blau]]&amp;OfficeForms.Table[[#This Row],[Gruppe Grün]]</f>
        <v>Schildkröte blau</v>
      </c>
      <c r="J217" s="2" t="s">
        <v>14</v>
      </c>
      <c r="O217" s="2">
        <v>10</v>
      </c>
      <c r="P217" s="4"/>
      <c r="Q217" s="2"/>
      <c r="R217" s="2"/>
      <c r="S217" s="4"/>
    </row>
    <row r="218" spans="1:19">
      <c r="A218">
        <v>147</v>
      </c>
      <c r="B218" s="1">
        <v>45468.415960648097</v>
      </c>
      <c r="C218" s="1">
        <v>45468.416157407402</v>
      </c>
      <c r="D218" s="2" t="s">
        <v>19</v>
      </c>
      <c r="E218" s="2"/>
      <c r="F218" s="2" t="s">
        <v>22</v>
      </c>
      <c r="G218" s="2"/>
      <c r="H218" s="2" t="s">
        <v>51</v>
      </c>
      <c r="I218" t="str">
        <f>OfficeForms.Table[[#This Row],[Gruppe Blau]]&amp;OfficeForms.Table[[#This Row],[Gruppe Grün]]</f>
        <v>Schlange grün</v>
      </c>
      <c r="J218" s="2" t="s">
        <v>14</v>
      </c>
      <c r="O218" s="2">
        <v>15</v>
      </c>
      <c r="P218" s="4"/>
      <c r="Q218" s="2"/>
      <c r="R218" s="2"/>
      <c r="S218" s="4"/>
    </row>
    <row r="219" spans="1:19">
      <c r="A219">
        <v>148</v>
      </c>
      <c r="B219" s="1">
        <v>45468.416284722203</v>
      </c>
      <c r="C219" s="1">
        <v>45468.416458333297</v>
      </c>
      <c r="D219" s="2" t="s">
        <v>19</v>
      </c>
      <c r="E219" s="2"/>
      <c r="F219" s="2" t="s">
        <v>20</v>
      </c>
      <c r="G219" s="2" t="s">
        <v>39</v>
      </c>
      <c r="H219" s="2"/>
      <c r="I219" t="str">
        <f>OfficeForms.Table[[#This Row],[Gruppe Blau]]&amp;OfficeForms.Table[[#This Row],[Gruppe Grün]]</f>
        <v>Schlange blau</v>
      </c>
      <c r="J219" s="2" t="s">
        <v>14</v>
      </c>
      <c r="O219" s="2">
        <v>14</v>
      </c>
      <c r="P219" s="4"/>
      <c r="Q219" s="2"/>
      <c r="R219" s="2"/>
      <c r="S219" s="4"/>
    </row>
    <row r="220" spans="1:19" ht="15">
      <c r="A220">
        <v>155</v>
      </c>
      <c r="B220" s="1">
        <v>45468.417650463001</v>
      </c>
      <c r="C220" s="1">
        <v>45468.417777777802</v>
      </c>
      <c r="D220" s="2" t="s">
        <v>19</v>
      </c>
      <c r="E220" s="2"/>
      <c r="F220" s="2" t="s">
        <v>22</v>
      </c>
      <c r="G220" s="2"/>
      <c r="H220" s="2" t="s">
        <v>44</v>
      </c>
      <c r="I220" t="str">
        <f>OfficeForms.Table[[#This Row],[Gruppe Blau]]&amp;OfficeForms.Table[[#This Row],[Gruppe Grün]]</f>
        <v>Schmetterling grün</v>
      </c>
      <c r="J220" s="2" t="s">
        <v>14</v>
      </c>
      <c r="O220" s="2">
        <v>15</v>
      </c>
      <c r="P220" s="4"/>
      <c r="Q220" s="2"/>
      <c r="R220" s="2"/>
      <c r="S220" s="4"/>
    </row>
    <row r="221" spans="1:19">
      <c r="A221">
        <v>156</v>
      </c>
      <c r="B221" s="1">
        <v>45468.417824074102</v>
      </c>
      <c r="C221" s="1">
        <v>45468.417962963002</v>
      </c>
      <c r="D221" s="2" t="s">
        <v>19</v>
      </c>
      <c r="E221" s="2"/>
      <c r="F221" s="2" t="s">
        <v>20</v>
      </c>
      <c r="G221" s="2" t="s">
        <v>40</v>
      </c>
      <c r="H221" s="2"/>
      <c r="I221" t="str">
        <f>OfficeForms.Table[[#This Row],[Gruppe Blau]]&amp;OfficeForms.Table[[#This Row],[Gruppe Grün]]</f>
        <v>Schmetterling blau</v>
      </c>
      <c r="J221" s="2" t="s">
        <v>14</v>
      </c>
      <c r="O221" s="2">
        <v>13</v>
      </c>
      <c r="P221" s="4"/>
      <c r="Q221" s="2"/>
      <c r="R221" s="2"/>
      <c r="S221" s="4"/>
    </row>
    <row r="222" spans="1:19">
      <c r="A222">
        <v>158</v>
      </c>
      <c r="B222" s="1">
        <v>45468.418194444399</v>
      </c>
      <c r="C222" s="1">
        <v>45468.418287036999</v>
      </c>
      <c r="D222" s="2" t="s">
        <v>19</v>
      </c>
      <c r="E222" s="2"/>
      <c r="F222" s="2" t="s">
        <v>22</v>
      </c>
      <c r="G222" s="2"/>
      <c r="H222" s="2" t="s">
        <v>35</v>
      </c>
      <c r="I222" t="str">
        <f>OfficeForms.Table[[#This Row],[Gruppe Blau]]&amp;OfficeForms.Table[[#This Row],[Gruppe Grün]]</f>
        <v>Tiger grün</v>
      </c>
      <c r="J222" s="2" t="s">
        <v>14</v>
      </c>
      <c r="O222" s="2">
        <v>11</v>
      </c>
      <c r="P222" s="4"/>
      <c r="Q222" s="2"/>
      <c r="R222" s="2"/>
      <c r="S222" s="4"/>
    </row>
    <row r="223" spans="1:19">
      <c r="A223">
        <v>157</v>
      </c>
      <c r="B223" s="1">
        <v>45468.418020833298</v>
      </c>
      <c r="C223" s="1">
        <v>45468.418148148201</v>
      </c>
      <c r="D223" s="2" t="s">
        <v>19</v>
      </c>
      <c r="E223" s="2"/>
      <c r="F223" s="2" t="s">
        <v>20</v>
      </c>
      <c r="G223" s="2" t="s">
        <v>45</v>
      </c>
      <c r="H223" s="2"/>
      <c r="I223" t="str">
        <f>OfficeForms.Table[[#This Row],[Gruppe Blau]]&amp;OfficeForms.Table[[#This Row],[Gruppe Grün]]</f>
        <v>Tiger blau</v>
      </c>
      <c r="J223" s="2" t="s">
        <v>14</v>
      </c>
      <c r="O223" s="2">
        <v>14</v>
      </c>
      <c r="P223" s="4"/>
      <c r="Q223" s="2"/>
      <c r="R223" s="2"/>
      <c r="S223" s="4"/>
    </row>
    <row r="224" spans="1:19">
      <c r="A224">
        <v>134</v>
      </c>
      <c r="B224" s="1">
        <v>45468.409699074102</v>
      </c>
      <c r="C224" s="1">
        <v>45468.41</v>
      </c>
      <c r="D224" s="2" t="s">
        <v>19</v>
      </c>
      <c r="E224" s="2"/>
      <c r="F224" s="2" t="s">
        <v>20</v>
      </c>
      <c r="G224" s="2" t="s">
        <v>36</v>
      </c>
      <c r="H224" s="2"/>
      <c r="I224" t="str">
        <f>OfficeForms.Table[[#This Row],[Gruppe Blau]]&amp;OfficeForms.Table[[#This Row],[Gruppe Grün]]</f>
        <v>Affe blau</v>
      </c>
      <c r="J224" s="2" t="s">
        <v>17</v>
      </c>
      <c r="O224" s="2"/>
      <c r="P224" s="4"/>
      <c r="Q224" s="2"/>
      <c r="R224" s="2">
        <v>12</v>
      </c>
      <c r="S224" s="4"/>
    </row>
    <row r="225" spans="1:19">
      <c r="A225">
        <v>131</v>
      </c>
      <c r="B225" s="1">
        <v>45468.408738425896</v>
      </c>
      <c r="C225" s="1">
        <v>45468.409097222197</v>
      </c>
      <c r="D225" s="2" t="s">
        <v>19</v>
      </c>
      <c r="E225" s="2"/>
      <c r="F225" s="2" t="s">
        <v>22</v>
      </c>
      <c r="G225" s="2"/>
      <c r="H225" s="2" t="s">
        <v>28</v>
      </c>
      <c r="I225" t="str">
        <f>OfficeForms.Table[[#This Row],[Gruppe Blau]]&amp;OfficeForms.Table[[#This Row],[Gruppe Grün]]</f>
        <v>Affe grün</v>
      </c>
      <c r="J225" s="2" t="s">
        <v>17</v>
      </c>
      <c r="O225" s="2"/>
      <c r="P225" s="4"/>
      <c r="Q225" s="2"/>
      <c r="R225" s="2">
        <v>11</v>
      </c>
      <c r="S225" s="4"/>
    </row>
    <row r="226" spans="1:19">
      <c r="A226">
        <v>51</v>
      </c>
      <c r="B226" s="1">
        <v>45468.363541666702</v>
      </c>
      <c r="C226" s="1">
        <v>45468.365949074097</v>
      </c>
      <c r="D226" s="2" t="s">
        <v>19</v>
      </c>
      <c r="E226" s="2"/>
      <c r="F226" s="2" t="s">
        <v>20</v>
      </c>
      <c r="G226" s="2" t="s">
        <v>47</v>
      </c>
      <c r="H226" s="2"/>
      <c r="I226" t="str">
        <f>OfficeForms.Table[[#This Row],[Gruppe Blau]]&amp;OfficeForms.Table[[#This Row],[Gruppe Grün]]</f>
        <v>Delfin blau</v>
      </c>
      <c r="J226" s="2" t="s">
        <v>17</v>
      </c>
      <c r="O226" s="2"/>
      <c r="P226" s="4"/>
      <c r="Q226" s="2"/>
      <c r="R226" s="2">
        <v>14</v>
      </c>
      <c r="S226" s="4"/>
    </row>
    <row r="227" spans="1:19">
      <c r="A227">
        <v>57</v>
      </c>
      <c r="B227" s="1">
        <v>45468.366238425901</v>
      </c>
      <c r="C227" s="1">
        <v>45468.366458333301</v>
      </c>
      <c r="D227" s="2" t="s">
        <v>19</v>
      </c>
      <c r="E227" s="2"/>
      <c r="F227" s="2" t="s">
        <v>22</v>
      </c>
      <c r="G227" s="2"/>
      <c r="H227" s="2" t="s">
        <v>33</v>
      </c>
      <c r="I227" t="str">
        <f>OfficeForms.Table[[#This Row],[Gruppe Blau]]&amp;OfficeForms.Table[[#This Row],[Gruppe Grün]]</f>
        <v>Delfin grün</v>
      </c>
      <c r="J227" s="2" t="s">
        <v>17</v>
      </c>
      <c r="O227" s="2"/>
      <c r="P227" s="4"/>
      <c r="Q227" s="2"/>
      <c r="R227" s="2">
        <v>16</v>
      </c>
      <c r="S227" s="4"/>
    </row>
    <row r="228" spans="1:19">
      <c r="A228">
        <v>254</v>
      </c>
      <c r="B228" s="1">
        <v>45468.484432870398</v>
      </c>
      <c r="C228" s="1">
        <v>45468.484629629602</v>
      </c>
      <c r="D228" s="2" t="s">
        <v>19</v>
      </c>
      <c r="E228" s="2"/>
      <c r="F228" s="2" t="s">
        <v>22</v>
      </c>
      <c r="G228" s="2"/>
      <c r="H228" s="2" t="s">
        <v>34</v>
      </c>
      <c r="I228" t="str">
        <f>OfficeForms.Table[[#This Row],[Gruppe Blau]]&amp;OfficeForms.Table[[#This Row],[Gruppe Grün]]</f>
        <v>Elefant grün</v>
      </c>
      <c r="J228" s="2" t="s">
        <v>17</v>
      </c>
      <c r="O228" s="2"/>
      <c r="P228" s="4"/>
      <c r="Q228" s="2"/>
      <c r="R228" s="2">
        <v>11</v>
      </c>
      <c r="S228" s="4"/>
    </row>
    <row r="229" spans="1:19">
      <c r="A229">
        <v>251</v>
      </c>
      <c r="B229" s="1">
        <v>45468.483773148197</v>
      </c>
      <c r="C229" s="1">
        <v>45468.4842361111</v>
      </c>
      <c r="D229" s="2" t="s">
        <v>19</v>
      </c>
      <c r="E229" s="2"/>
      <c r="F229" s="2" t="s">
        <v>20</v>
      </c>
      <c r="G229" s="2" t="s">
        <v>48</v>
      </c>
      <c r="H229" s="2"/>
      <c r="I229" t="str">
        <f>OfficeForms.Table[[#This Row],[Gruppe Blau]]&amp;OfficeForms.Table[[#This Row],[Gruppe Grün]]</f>
        <v>Elefant blau</v>
      </c>
      <c r="J229" s="2" t="s">
        <v>17</v>
      </c>
      <c r="O229" s="2"/>
      <c r="P229" s="4"/>
      <c r="Q229" s="2"/>
      <c r="R229" s="2">
        <v>12</v>
      </c>
      <c r="S229" s="4"/>
    </row>
    <row r="230" spans="1:19">
      <c r="A230">
        <v>204</v>
      </c>
      <c r="B230" s="1">
        <v>45468.455138888901</v>
      </c>
      <c r="C230" s="1">
        <v>45468.455300925903</v>
      </c>
      <c r="D230" s="2" t="s">
        <v>19</v>
      </c>
      <c r="E230" s="2"/>
      <c r="F230" s="2" t="s">
        <v>22</v>
      </c>
      <c r="G230" s="2"/>
      <c r="H230" s="2" t="s">
        <v>24</v>
      </c>
      <c r="I230" t="str">
        <f>OfficeForms.Table[[#This Row],[Gruppe Blau]]&amp;OfficeForms.Table[[#This Row],[Gruppe Grün]]</f>
        <v>Eule grün</v>
      </c>
      <c r="J230" s="2" t="s">
        <v>17</v>
      </c>
      <c r="O230" s="2"/>
      <c r="P230" s="4"/>
      <c r="Q230" s="2"/>
      <c r="R230" s="2">
        <v>8</v>
      </c>
      <c r="S230" s="4"/>
    </row>
    <row r="231" spans="1:19">
      <c r="A231">
        <v>203</v>
      </c>
      <c r="B231" s="1">
        <v>45468.455000000002</v>
      </c>
      <c r="C231" s="1">
        <v>45468.455127314803</v>
      </c>
      <c r="D231" s="2" t="s">
        <v>19</v>
      </c>
      <c r="E231" s="2"/>
      <c r="F231" s="2" t="s">
        <v>20</v>
      </c>
      <c r="G231" s="2" t="s">
        <v>46</v>
      </c>
      <c r="H231" s="2"/>
      <c r="I231" t="str">
        <f>OfficeForms.Table[[#This Row],[Gruppe Blau]]&amp;OfficeForms.Table[[#This Row],[Gruppe Grün]]</f>
        <v>Eule blau</v>
      </c>
      <c r="J231" s="2" t="s">
        <v>17</v>
      </c>
      <c r="O231" s="2"/>
      <c r="P231" s="4"/>
      <c r="Q231" s="2"/>
      <c r="R231" s="2">
        <v>12</v>
      </c>
      <c r="S231" s="4"/>
    </row>
    <row r="232" spans="1:19">
      <c r="A232">
        <v>202</v>
      </c>
      <c r="B232" s="1">
        <v>45468.454826388901</v>
      </c>
      <c r="C232" s="1">
        <v>45468.454976851797</v>
      </c>
      <c r="D232" s="2" t="s">
        <v>19</v>
      </c>
      <c r="E232" s="2"/>
      <c r="F232" s="2" t="s">
        <v>22</v>
      </c>
      <c r="G232" s="2"/>
      <c r="H232" s="2" t="s">
        <v>25</v>
      </c>
      <c r="I232" t="str">
        <f>OfficeForms.Table[[#This Row],[Gruppe Blau]]&amp;OfficeForms.Table[[#This Row],[Gruppe Grün]]</f>
        <v>Fuchs grün</v>
      </c>
      <c r="J232" s="2" t="s">
        <v>17</v>
      </c>
      <c r="O232" s="2"/>
      <c r="P232" s="4"/>
      <c r="Q232" s="2"/>
      <c r="R232" s="2">
        <v>8</v>
      </c>
      <c r="S232" s="4"/>
    </row>
    <row r="233" spans="1:19">
      <c r="A233">
        <v>205</v>
      </c>
      <c r="B233" s="1">
        <v>45468.455324074101</v>
      </c>
      <c r="C233" s="1">
        <v>45468.455462963</v>
      </c>
      <c r="D233" s="2" t="s">
        <v>19</v>
      </c>
      <c r="E233" s="2"/>
      <c r="F233" s="2" t="s">
        <v>20</v>
      </c>
      <c r="G233" s="2" t="s">
        <v>53</v>
      </c>
      <c r="H233" s="2"/>
      <c r="I233" t="str">
        <f>OfficeForms.Table[[#This Row],[Gruppe Blau]]&amp;OfficeForms.Table[[#This Row],[Gruppe Grün]]</f>
        <v>Fuchs blau</v>
      </c>
      <c r="J233" s="2" t="s">
        <v>17</v>
      </c>
      <c r="O233" s="2"/>
      <c r="P233" s="4"/>
      <c r="Q233" s="2"/>
      <c r="R233" s="2">
        <v>9</v>
      </c>
      <c r="S233" s="4"/>
    </row>
    <row r="234" spans="1:19">
      <c r="A234">
        <v>226</v>
      </c>
      <c r="B234" s="1">
        <v>45468.469398148103</v>
      </c>
      <c r="C234" s="1">
        <v>45468.4696064815</v>
      </c>
      <c r="D234" s="2" t="s">
        <v>19</v>
      </c>
      <c r="E234" s="2"/>
      <c r="F234" s="2" t="s">
        <v>22</v>
      </c>
      <c r="G234" s="2"/>
      <c r="H234" s="2" t="s">
        <v>31</v>
      </c>
      <c r="I234" t="str">
        <f>OfficeForms.Table[[#This Row],[Gruppe Blau]]&amp;OfficeForms.Table[[#This Row],[Gruppe Grün]]</f>
        <v>Giraffe grün</v>
      </c>
      <c r="J234" s="2" t="s">
        <v>17</v>
      </c>
      <c r="O234" s="2"/>
      <c r="P234" s="4"/>
      <c r="Q234" s="2"/>
      <c r="R234" s="2">
        <v>15</v>
      </c>
      <c r="S234" s="4"/>
    </row>
    <row r="235" spans="1:19">
      <c r="A235">
        <v>224</v>
      </c>
      <c r="B235" s="1">
        <v>45468.469085648103</v>
      </c>
      <c r="C235" s="1">
        <v>45468.4692013889</v>
      </c>
      <c r="D235" s="2" t="s">
        <v>19</v>
      </c>
      <c r="E235" s="2"/>
      <c r="F235" s="2" t="s">
        <v>20</v>
      </c>
      <c r="G235" s="2" t="s">
        <v>21</v>
      </c>
      <c r="H235" s="2"/>
      <c r="I235" t="str">
        <f>OfficeForms.Table[[#This Row],[Gruppe Blau]]&amp;OfficeForms.Table[[#This Row],[Gruppe Grün]]</f>
        <v>Giraffe blau</v>
      </c>
      <c r="J235" s="2" t="s">
        <v>17</v>
      </c>
      <c r="O235" s="2"/>
      <c r="P235" s="4"/>
      <c r="Q235" s="2"/>
      <c r="R235" s="2">
        <v>7</v>
      </c>
      <c r="S235" s="4"/>
    </row>
    <row r="236" spans="1:19">
      <c r="A236">
        <v>225</v>
      </c>
      <c r="B236" s="1">
        <v>45468.469224537002</v>
      </c>
      <c r="C236" s="1">
        <v>45468.469363425902</v>
      </c>
      <c r="D236" s="2" t="s">
        <v>19</v>
      </c>
      <c r="E236" s="2"/>
      <c r="F236" s="2" t="s">
        <v>22</v>
      </c>
      <c r="G236" s="2"/>
      <c r="H236" s="2" t="s">
        <v>49</v>
      </c>
      <c r="I236" t="str">
        <f>OfficeForms.Table[[#This Row],[Gruppe Blau]]&amp;OfficeForms.Table[[#This Row],[Gruppe Grün]]</f>
        <v>Igel grün</v>
      </c>
      <c r="J236" s="2" t="s">
        <v>17</v>
      </c>
      <c r="O236" s="2"/>
      <c r="P236" s="4"/>
      <c r="Q236" s="2"/>
      <c r="R236" s="2">
        <v>13</v>
      </c>
      <c r="S236" s="4"/>
    </row>
    <row r="237" spans="1:19">
      <c r="A237">
        <v>223</v>
      </c>
      <c r="B237" s="1">
        <v>45468.468912037002</v>
      </c>
      <c r="C237" s="1">
        <v>45468.469050925902</v>
      </c>
      <c r="D237" s="2" t="s">
        <v>19</v>
      </c>
      <c r="E237" s="2"/>
      <c r="F237" s="2" t="s">
        <v>20</v>
      </c>
      <c r="G237" s="2" t="s">
        <v>32</v>
      </c>
      <c r="H237" s="2"/>
      <c r="I237" t="str">
        <f>OfficeForms.Table[[#This Row],[Gruppe Blau]]&amp;OfficeForms.Table[[#This Row],[Gruppe Grün]]</f>
        <v>Igel blau</v>
      </c>
      <c r="J237" s="2" t="s">
        <v>17</v>
      </c>
      <c r="O237" s="2"/>
      <c r="P237" s="4"/>
      <c r="Q237" s="2"/>
      <c r="R237" s="2">
        <v>9</v>
      </c>
      <c r="S237" s="4"/>
    </row>
    <row r="238" spans="1:19">
      <c r="A238">
        <v>59</v>
      </c>
      <c r="B238" s="1">
        <v>45468.366481481498</v>
      </c>
      <c r="C238" s="1">
        <v>45468.366666666698</v>
      </c>
      <c r="D238" s="2" t="s">
        <v>19</v>
      </c>
      <c r="E238" s="2"/>
      <c r="F238" s="2" t="s">
        <v>22</v>
      </c>
      <c r="G238" s="2"/>
      <c r="H238" s="2" t="s">
        <v>52</v>
      </c>
      <c r="I238" t="str">
        <f>OfficeForms.Table[[#This Row],[Gruppe Blau]]&amp;OfficeForms.Table[[#This Row],[Gruppe Grün]]</f>
        <v>Katze grün</v>
      </c>
      <c r="J238" s="2" t="s">
        <v>17</v>
      </c>
      <c r="O238" s="2"/>
      <c r="P238" s="4"/>
      <c r="Q238" s="2"/>
      <c r="R238" s="2">
        <v>12</v>
      </c>
      <c r="S238" s="4"/>
    </row>
    <row r="239" spans="1:19">
      <c r="A239">
        <v>54</v>
      </c>
      <c r="B239" s="1">
        <v>45468.365983796299</v>
      </c>
      <c r="C239" s="1">
        <v>45468.366180555597</v>
      </c>
      <c r="D239" s="2" t="s">
        <v>19</v>
      </c>
      <c r="E239" s="2"/>
      <c r="F239" s="2" t="s">
        <v>20</v>
      </c>
      <c r="G239" s="2" t="s">
        <v>37</v>
      </c>
      <c r="H239" s="2"/>
      <c r="I239" t="str">
        <f>OfficeForms.Table[[#This Row],[Gruppe Blau]]&amp;OfficeForms.Table[[#This Row],[Gruppe Grün]]</f>
        <v>Katze blau</v>
      </c>
      <c r="J239" s="2" t="s">
        <v>17</v>
      </c>
      <c r="O239" s="2"/>
      <c r="P239" s="4"/>
      <c r="Q239" s="2"/>
      <c r="R239" s="2">
        <v>16</v>
      </c>
      <c r="S239" s="4"/>
    </row>
    <row r="240" spans="1:19">
      <c r="A240">
        <v>175</v>
      </c>
      <c r="B240" s="1">
        <v>45468.4401967593</v>
      </c>
      <c r="C240" s="1">
        <v>45468.440405092602</v>
      </c>
      <c r="D240" s="2" t="s">
        <v>19</v>
      </c>
      <c r="E240" s="2"/>
      <c r="F240" s="2" t="s">
        <v>22</v>
      </c>
      <c r="G240" s="2"/>
      <c r="H240" s="2" t="s">
        <v>23</v>
      </c>
      <c r="I240" t="str">
        <f>OfficeForms.Table[[#This Row],[Gruppe Blau]]&amp;OfficeForms.Table[[#This Row],[Gruppe Grün]]</f>
        <v>Krebs grün</v>
      </c>
      <c r="J240" s="2" t="s">
        <v>17</v>
      </c>
      <c r="O240" s="2"/>
      <c r="P240" s="4"/>
      <c r="Q240" s="2"/>
      <c r="R240" s="2">
        <v>9</v>
      </c>
      <c r="S240" s="4"/>
    </row>
    <row r="241" spans="1:19">
      <c r="A241">
        <v>174</v>
      </c>
      <c r="B241" s="1">
        <v>45468.439988425896</v>
      </c>
      <c r="C241" s="1">
        <v>45468.440150463</v>
      </c>
      <c r="D241" s="2" t="s">
        <v>19</v>
      </c>
      <c r="E241" s="2"/>
      <c r="F241" s="2" t="s">
        <v>20</v>
      </c>
      <c r="G241" s="2" t="s">
        <v>26</v>
      </c>
      <c r="H241" s="2"/>
      <c r="I241" t="str">
        <f>OfficeForms.Table[[#This Row],[Gruppe Blau]]&amp;OfficeForms.Table[[#This Row],[Gruppe Grün]]</f>
        <v>Krebs blau</v>
      </c>
      <c r="J241" s="2" t="s">
        <v>17</v>
      </c>
      <c r="O241" s="2"/>
      <c r="P241" s="4"/>
      <c r="Q241" s="2"/>
      <c r="R241" s="2">
        <v>13</v>
      </c>
      <c r="S241" s="4"/>
    </row>
    <row r="242" spans="1:19">
      <c r="A242">
        <v>107</v>
      </c>
      <c r="B242" s="1">
        <v>45468.394976851901</v>
      </c>
      <c r="C242" s="1">
        <v>45468.395173611098</v>
      </c>
      <c r="D242" s="2" t="s">
        <v>19</v>
      </c>
      <c r="E242" s="2"/>
      <c r="F242" s="2" t="s">
        <v>22</v>
      </c>
      <c r="G242" s="2"/>
      <c r="H242" s="2" t="s">
        <v>38</v>
      </c>
      <c r="I242" t="str">
        <f>OfficeForms.Table[[#This Row],[Gruppe Blau]]&amp;OfficeForms.Table[[#This Row],[Gruppe Grün]]</f>
        <v>Nilpferd grün</v>
      </c>
      <c r="J242" s="2" t="s">
        <v>17</v>
      </c>
      <c r="O242" s="2"/>
      <c r="P242" s="4"/>
      <c r="Q242" s="2"/>
      <c r="R242" s="2">
        <v>7</v>
      </c>
      <c r="S242" s="4"/>
    </row>
    <row r="243" spans="1:19">
      <c r="A243">
        <v>104</v>
      </c>
      <c r="B243" s="1">
        <v>45468.394583333298</v>
      </c>
      <c r="C243" s="1">
        <v>45468.394780092603</v>
      </c>
      <c r="D243" s="2" t="s">
        <v>19</v>
      </c>
      <c r="E243" s="2"/>
      <c r="F243" s="2" t="s">
        <v>20</v>
      </c>
      <c r="G243" s="2" t="s">
        <v>41</v>
      </c>
      <c r="H243" s="2"/>
      <c r="I243" t="str">
        <f>OfficeForms.Table[[#This Row],[Gruppe Blau]]&amp;OfficeForms.Table[[#This Row],[Gruppe Grün]]</f>
        <v>Nilpferd blau</v>
      </c>
      <c r="J243" s="2" t="s">
        <v>17</v>
      </c>
      <c r="O243" s="2"/>
      <c r="P243" s="4"/>
      <c r="Q243" s="2"/>
      <c r="R243" s="2">
        <v>10</v>
      </c>
      <c r="S243" s="4"/>
    </row>
    <row r="244" spans="1:19">
      <c r="A244">
        <v>103</v>
      </c>
      <c r="B244" s="1">
        <v>45468.394421296303</v>
      </c>
      <c r="C244" s="1">
        <v>45468.394548611097</v>
      </c>
      <c r="D244" s="2" t="s">
        <v>19</v>
      </c>
      <c r="E244" s="2"/>
      <c r="F244" s="2" t="s">
        <v>22</v>
      </c>
      <c r="G244" s="2"/>
      <c r="H244" s="2" t="s">
        <v>50</v>
      </c>
      <c r="I244" t="str">
        <f>OfficeForms.Table[[#This Row],[Gruppe Blau]]&amp;OfficeForms.Table[[#This Row],[Gruppe Grün]]</f>
        <v>Panda grün</v>
      </c>
      <c r="J244" s="2" t="s">
        <v>17</v>
      </c>
      <c r="O244" s="2"/>
      <c r="P244" s="4"/>
      <c r="Q244" s="2"/>
      <c r="R244" s="2">
        <v>12</v>
      </c>
      <c r="S244" s="4"/>
    </row>
    <row r="245" spans="1:19">
      <c r="A245">
        <v>105</v>
      </c>
      <c r="B245" s="1">
        <v>45468.394814814797</v>
      </c>
      <c r="C245" s="1">
        <v>45468.394953703697</v>
      </c>
      <c r="D245" s="2" t="s">
        <v>19</v>
      </c>
      <c r="E245" s="2"/>
      <c r="F245" s="2" t="s">
        <v>20</v>
      </c>
      <c r="G245" s="2" t="s">
        <v>27</v>
      </c>
      <c r="H245" s="2"/>
      <c r="I245" t="str">
        <f>OfficeForms.Table[[#This Row],[Gruppe Blau]]&amp;OfficeForms.Table[[#This Row],[Gruppe Grün]]</f>
        <v>Panda blau</v>
      </c>
      <c r="J245" s="2" t="s">
        <v>17</v>
      </c>
      <c r="O245" s="2"/>
      <c r="P245" s="4"/>
      <c r="Q245" s="2"/>
      <c r="R245" s="2">
        <v>9</v>
      </c>
      <c r="S245" s="4"/>
    </row>
    <row r="246" spans="1:19">
      <c r="A246">
        <v>133</v>
      </c>
      <c r="B246" s="1">
        <v>45468.409270833297</v>
      </c>
      <c r="C246" s="1">
        <v>45468.409687500003</v>
      </c>
      <c r="D246" s="2" t="s">
        <v>19</v>
      </c>
      <c r="E246" s="2"/>
      <c r="F246" s="2" t="s">
        <v>22</v>
      </c>
      <c r="G246" s="2"/>
      <c r="H246" s="2" t="s">
        <v>29</v>
      </c>
      <c r="I246" t="str">
        <f>OfficeForms.Table[[#This Row],[Gruppe Blau]]&amp;OfficeForms.Table[[#This Row],[Gruppe Grün]]</f>
        <v>Schaf grün</v>
      </c>
      <c r="J246" s="2" t="s">
        <v>17</v>
      </c>
      <c r="O246" s="2"/>
      <c r="P246" s="4"/>
      <c r="Q246" s="2"/>
      <c r="R246" s="2">
        <v>12</v>
      </c>
      <c r="S246" s="4"/>
    </row>
    <row r="247" spans="1:19">
      <c r="A247">
        <v>132</v>
      </c>
      <c r="B247" s="1">
        <v>45468.409108796302</v>
      </c>
      <c r="C247" s="1">
        <v>45468.409259259301</v>
      </c>
      <c r="D247" s="2" t="s">
        <v>19</v>
      </c>
      <c r="E247" s="2"/>
      <c r="F247" s="2" t="s">
        <v>20</v>
      </c>
      <c r="G247" s="2" t="s">
        <v>42</v>
      </c>
      <c r="H247" s="2"/>
      <c r="I247" t="str">
        <f>OfficeForms.Table[[#This Row],[Gruppe Blau]]&amp;OfficeForms.Table[[#This Row],[Gruppe Grün]]</f>
        <v>Schaf blau</v>
      </c>
      <c r="J247" s="2" t="s">
        <v>17</v>
      </c>
      <c r="O247" s="2"/>
      <c r="P247" s="4"/>
      <c r="Q247" s="2"/>
      <c r="R247" s="2">
        <v>11</v>
      </c>
      <c r="S247" s="4"/>
    </row>
    <row r="248" spans="1:19">
      <c r="A248">
        <v>173</v>
      </c>
      <c r="B248" s="1">
        <v>45468.439710648097</v>
      </c>
      <c r="C248" s="1">
        <v>45468.439953703702</v>
      </c>
      <c r="D248" s="2" t="s">
        <v>19</v>
      </c>
      <c r="E248" s="2"/>
      <c r="F248" s="2" t="s">
        <v>22</v>
      </c>
      <c r="G248" s="2"/>
      <c r="H248" s="2" t="s">
        <v>30</v>
      </c>
      <c r="I248" t="str">
        <f>OfficeForms.Table[[#This Row],[Gruppe Blau]]&amp;OfficeForms.Table[[#This Row],[Gruppe Grün]]</f>
        <v>Schildkröte grün</v>
      </c>
      <c r="J248" s="2" t="s">
        <v>17</v>
      </c>
      <c r="O248" s="2"/>
      <c r="P248" s="4"/>
      <c r="Q248" s="2"/>
      <c r="R248" s="2">
        <v>12</v>
      </c>
      <c r="S248" s="4"/>
    </row>
    <row r="249" spans="1:19">
      <c r="A249">
        <v>172</v>
      </c>
      <c r="B249" s="1">
        <v>45468.439305555599</v>
      </c>
      <c r="C249" s="1">
        <v>45468.439699074101</v>
      </c>
      <c r="D249" s="2" t="s">
        <v>19</v>
      </c>
      <c r="E249" s="2"/>
      <c r="F249" s="2" t="s">
        <v>20</v>
      </c>
      <c r="G249" s="2" t="s">
        <v>43</v>
      </c>
      <c r="H249" s="2"/>
      <c r="I249" t="str">
        <f>OfficeForms.Table[[#This Row],[Gruppe Blau]]&amp;OfficeForms.Table[[#This Row],[Gruppe Grün]]</f>
        <v>Schildkröte blau</v>
      </c>
      <c r="J249" s="2" t="s">
        <v>17</v>
      </c>
      <c r="O249" s="2"/>
      <c r="P249" s="4"/>
      <c r="Q249" s="2"/>
      <c r="R249" s="2">
        <v>15</v>
      </c>
      <c r="S249" s="4"/>
    </row>
    <row r="250" spans="1:19">
      <c r="A250">
        <v>255</v>
      </c>
      <c r="B250" s="1">
        <v>45468.484664351898</v>
      </c>
      <c r="C250" s="1">
        <v>45468.484884259298</v>
      </c>
      <c r="D250" s="2" t="s">
        <v>19</v>
      </c>
      <c r="E250" s="2"/>
      <c r="F250" s="2" t="s">
        <v>22</v>
      </c>
      <c r="G250" s="2"/>
      <c r="H250" s="2" t="s">
        <v>51</v>
      </c>
      <c r="I250" t="str">
        <f>OfficeForms.Table[[#This Row],[Gruppe Blau]]&amp;OfficeForms.Table[[#This Row],[Gruppe Grün]]</f>
        <v>Schlange grün</v>
      </c>
      <c r="J250" s="2" t="s">
        <v>17</v>
      </c>
      <c r="O250" s="2"/>
      <c r="P250" s="4"/>
      <c r="Q250" s="2"/>
      <c r="R250" s="2">
        <v>12</v>
      </c>
      <c r="S250" s="4"/>
    </row>
    <row r="251" spans="1:19">
      <c r="A251">
        <v>252</v>
      </c>
      <c r="B251" s="1">
        <v>45468.484270833302</v>
      </c>
      <c r="C251" s="1">
        <v>45468.484386574099</v>
      </c>
      <c r="D251" s="2" t="s">
        <v>19</v>
      </c>
      <c r="E251" s="2"/>
      <c r="F251" s="2" t="s">
        <v>20</v>
      </c>
      <c r="G251" s="2" t="s">
        <v>39</v>
      </c>
      <c r="H251" s="2"/>
      <c r="I251" t="str">
        <f>OfficeForms.Table[[#This Row],[Gruppe Blau]]&amp;OfficeForms.Table[[#This Row],[Gruppe Grün]]</f>
        <v>Schlange blau</v>
      </c>
      <c r="J251" s="2" t="s">
        <v>17</v>
      </c>
      <c r="O251" s="2"/>
      <c r="P251" s="4"/>
      <c r="Q251" s="2"/>
      <c r="R251" s="2">
        <v>12</v>
      </c>
      <c r="S251" s="4"/>
    </row>
    <row r="252" spans="1:19">
      <c r="A252">
        <v>78</v>
      </c>
      <c r="B252" s="1">
        <v>45468.380219907398</v>
      </c>
      <c r="C252" s="1">
        <v>45468.380439814799</v>
      </c>
      <c r="D252" s="2" t="s">
        <v>19</v>
      </c>
      <c r="E252" s="2"/>
      <c r="F252" s="2" t="s">
        <v>22</v>
      </c>
      <c r="G252" s="2"/>
      <c r="H252" s="2" t="s">
        <v>44</v>
      </c>
      <c r="I252" t="str">
        <f>OfficeForms.Table[[#This Row],[Gruppe Blau]]&amp;OfficeForms.Table[[#This Row],[Gruppe Grün]]</f>
        <v>Schmetterling grün</v>
      </c>
      <c r="J252" s="2" t="s">
        <v>17</v>
      </c>
      <c r="O252" s="2"/>
      <c r="P252" s="4"/>
      <c r="Q252" s="2"/>
      <c r="R252" s="2">
        <v>12</v>
      </c>
      <c r="S252" s="4"/>
    </row>
    <row r="253" spans="1:19">
      <c r="A253">
        <v>83</v>
      </c>
      <c r="B253" s="1">
        <v>45468.380706018499</v>
      </c>
      <c r="C253" s="1">
        <v>45468.380914351903</v>
      </c>
      <c r="D253" s="2" t="s">
        <v>19</v>
      </c>
      <c r="E253" s="2"/>
      <c r="F253" s="2" t="s">
        <v>20</v>
      </c>
      <c r="G253" s="2" t="s">
        <v>40</v>
      </c>
      <c r="H253" s="2"/>
      <c r="I253" t="str">
        <f>OfficeForms.Table[[#This Row],[Gruppe Blau]]&amp;OfficeForms.Table[[#This Row],[Gruppe Grün]]</f>
        <v>Schmetterling blau</v>
      </c>
      <c r="J253" s="2" t="s">
        <v>17</v>
      </c>
      <c r="O253" s="2"/>
      <c r="P253" s="4"/>
      <c r="Q253" s="2"/>
      <c r="R253" s="2">
        <v>10</v>
      </c>
      <c r="S253" s="4"/>
    </row>
    <row r="254" spans="1:19">
      <c r="A254">
        <v>80</v>
      </c>
      <c r="B254" s="1">
        <v>45468.3805208333</v>
      </c>
      <c r="C254" s="1">
        <v>45468.3806944444</v>
      </c>
      <c r="D254" s="2" t="s">
        <v>19</v>
      </c>
      <c r="E254" s="2"/>
      <c r="F254" s="2" t="s">
        <v>22</v>
      </c>
      <c r="G254" s="2"/>
      <c r="H254" s="2" t="s">
        <v>35</v>
      </c>
      <c r="I254" t="str">
        <f>OfficeForms.Table[[#This Row],[Gruppe Blau]]&amp;OfficeForms.Table[[#This Row],[Gruppe Grün]]</f>
        <v>Tiger grün</v>
      </c>
      <c r="J254" s="2" t="s">
        <v>17</v>
      </c>
      <c r="O254" s="2"/>
      <c r="P254" s="4"/>
      <c r="Q254" s="2"/>
      <c r="R254" s="2">
        <v>13</v>
      </c>
      <c r="S254" s="4"/>
    </row>
    <row r="255" spans="1:19">
      <c r="A255">
        <v>86</v>
      </c>
      <c r="B255" s="1">
        <v>45468.380937499998</v>
      </c>
      <c r="C255" s="1">
        <v>45468.381203703699</v>
      </c>
      <c r="D255" s="2" t="s">
        <v>19</v>
      </c>
      <c r="E255" s="2"/>
      <c r="F255" s="2" t="s">
        <v>20</v>
      </c>
      <c r="G255" s="2" t="s">
        <v>45</v>
      </c>
      <c r="H255" s="2"/>
      <c r="I255" t="str">
        <f>OfficeForms.Table[[#This Row],[Gruppe Blau]]&amp;OfficeForms.Table[[#This Row],[Gruppe Grün]]</f>
        <v>Tiger blau</v>
      </c>
      <c r="J255" s="2" t="s">
        <v>17</v>
      </c>
      <c r="O255" s="2"/>
      <c r="P255" s="4"/>
      <c r="Q255" s="2"/>
      <c r="R255" s="2">
        <v>12</v>
      </c>
      <c r="S255" s="4"/>
    </row>
    <row r="256" spans="1:19">
      <c r="B256" s="1"/>
      <c r="C256" s="1"/>
      <c r="I256" t="str">
        <f>OfficeForms.Table[[#This Row],[Gruppe Blau]]&amp;OfficeForms.Table[[#This Row],[Gruppe Grün]]</f>
        <v/>
      </c>
    </row>
    <row r="257" spans="2:19">
      <c r="B257" s="1"/>
      <c r="C257" s="1"/>
      <c r="D257" s="2"/>
      <c r="E257" s="2"/>
      <c r="F257" s="2"/>
      <c r="G257" s="2"/>
      <c r="H257" s="2"/>
      <c r="I257" t="str">
        <f>OfficeForms.Table[[#This Row],[Gruppe Blau]]&amp;OfficeForms.Table[[#This Row],[Gruppe Grün]]</f>
        <v/>
      </c>
      <c r="J257" s="2"/>
      <c r="O257" s="2"/>
      <c r="P257" s="2"/>
      <c r="Q257" s="2"/>
      <c r="R257" s="2"/>
      <c r="S257" s="2"/>
    </row>
    <row r="258" spans="2:19">
      <c r="B258" s="1"/>
      <c r="C258" s="1"/>
      <c r="D258" s="2"/>
      <c r="E258" s="2"/>
      <c r="F258" s="2"/>
      <c r="G258" s="2"/>
      <c r="H258" s="2"/>
      <c r="I258" t="str">
        <f>OfficeForms.Table[[#This Row],[Gruppe Blau]]&amp;OfficeForms.Table[[#This Row],[Gruppe Grün]]</f>
        <v/>
      </c>
      <c r="J258" s="2"/>
      <c r="O258" s="2"/>
      <c r="P258" s="6"/>
      <c r="Q258" s="2"/>
      <c r="R258" s="2"/>
      <c r="S258" s="2"/>
    </row>
    <row r="259" spans="2:19">
      <c r="B259" s="1"/>
      <c r="C259" s="1"/>
      <c r="D259" s="2"/>
      <c r="E259" s="2"/>
      <c r="F259" s="2"/>
      <c r="G259" s="2"/>
      <c r="H259" s="2"/>
      <c r="I259" t="str">
        <f>OfficeForms.Table[[#This Row],[Gruppe Blau]]&amp;OfficeForms.Table[[#This Row],[Gruppe Grün]]</f>
        <v/>
      </c>
      <c r="J259" s="2"/>
      <c r="O259" s="2"/>
      <c r="P259" s="4"/>
      <c r="Q259" s="2"/>
      <c r="R259" s="2"/>
      <c r="S259" s="2"/>
    </row>
    <row r="260" spans="2:19">
      <c r="B260" s="1"/>
      <c r="C260" s="1"/>
      <c r="D260" s="2"/>
      <c r="E260" s="2"/>
      <c r="F260" s="2"/>
      <c r="G260" s="2"/>
      <c r="H260" s="2"/>
      <c r="I260" t="str">
        <f>OfficeForms.Table[[#This Row],[Gruppe Blau]]&amp;OfficeForms.Table[[#This Row],[Gruppe Grün]]</f>
        <v/>
      </c>
      <c r="J260" s="2"/>
      <c r="O260" s="2"/>
      <c r="P260" s="4"/>
      <c r="Q260" s="2"/>
      <c r="R260" s="2"/>
      <c r="S260" s="6"/>
    </row>
    <row r="261" spans="2:19">
      <c r="B261" s="1"/>
      <c r="C261" s="1"/>
      <c r="D261" s="2"/>
      <c r="E261" s="2"/>
      <c r="F261" s="2"/>
      <c r="G261" s="2"/>
      <c r="H261" s="2"/>
      <c r="I261" t="str">
        <f>OfficeForms.Table[[#This Row],[Gruppe Blau]]&amp;OfficeForms.Table[[#This Row],[Gruppe Grün]]</f>
        <v/>
      </c>
      <c r="J261" s="2"/>
      <c r="O261" s="2"/>
      <c r="P261" s="4"/>
      <c r="Q261" s="2"/>
      <c r="R261" s="2"/>
      <c r="S261" s="6"/>
    </row>
    <row r="262" spans="2:19">
      <c r="B262" s="1"/>
      <c r="C262" s="1"/>
      <c r="D262" s="2"/>
      <c r="E262" s="2"/>
      <c r="F262" s="2"/>
      <c r="G262" s="2"/>
      <c r="H262" s="2"/>
      <c r="I262" t="str">
        <f>OfficeForms.Table[[#This Row],[Gruppe Blau]]&amp;OfficeForms.Table[[#This Row],[Gruppe Grün]]</f>
        <v/>
      </c>
      <c r="J262" s="2"/>
      <c r="O262" s="2"/>
      <c r="P262" s="4"/>
      <c r="Q262" s="2"/>
      <c r="R262" s="2"/>
      <c r="S262" s="4"/>
    </row>
    <row r="263" spans="2:19">
      <c r="B263" s="1"/>
      <c r="C263" s="1"/>
      <c r="D263" s="2"/>
      <c r="E263" s="2"/>
      <c r="F263" s="2"/>
      <c r="G263" s="2"/>
      <c r="H263" s="2"/>
      <c r="I263" t="str">
        <f>OfficeForms.Table[[#This Row],[Gruppe Blau]]&amp;OfficeForms.Table[[#This Row],[Gruppe Grün]]</f>
        <v/>
      </c>
      <c r="J263" s="2"/>
      <c r="O263" s="2"/>
      <c r="P263" s="4"/>
      <c r="Q263" s="2"/>
      <c r="R263" s="2"/>
      <c r="S263" s="4"/>
    </row>
    <row r="264" spans="2:19">
      <c r="B264" s="1"/>
      <c r="C264" s="1"/>
      <c r="D264" s="2"/>
      <c r="E264" s="2"/>
      <c r="F264" s="2"/>
      <c r="G264" s="2"/>
      <c r="H264" s="2"/>
      <c r="I264" t="str">
        <f>OfficeForms.Table[[#This Row],[Gruppe Blau]]&amp;OfficeForms.Table[[#This Row],[Gruppe Grün]]</f>
        <v/>
      </c>
      <c r="J264" s="2"/>
      <c r="O264" s="2"/>
      <c r="P264" s="4"/>
      <c r="Q264" s="2"/>
      <c r="R264" s="2"/>
      <c r="S264" s="4"/>
    </row>
    <row r="265" spans="2:19">
      <c r="B265" s="1"/>
      <c r="C265" s="1"/>
      <c r="D265" s="2"/>
      <c r="E265" s="2"/>
      <c r="F265" s="2"/>
      <c r="G265" s="2"/>
      <c r="H265" s="2"/>
      <c r="I265" t="str">
        <f>OfficeForms.Table[[#This Row],[Gruppe Blau]]&amp;OfficeForms.Table[[#This Row],[Gruppe Grün]]</f>
        <v/>
      </c>
      <c r="J265" s="2"/>
      <c r="O265" s="2"/>
      <c r="P265" s="4"/>
      <c r="Q265" s="2"/>
      <c r="R265" s="2"/>
      <c r="S265" s="4"/>
    </row>
    <row r="266" spans="2:19">
      <c r="B266" s="1"/>
      <c r="C266" s="1"/>
      <c r="D266" s="2"/>
      <c r="E266" s="2"/>
      <c r="F266" s="2"/>
      <c r="G266" s="2"/>
      <c r="H266" s="2"/>
      <c r="I266" t="str">
        <f>OfficeForms.Table[[#This Row],[Gruppe Blau]]&amp;OfficeForms.Table[[#This Row],[Gruppe Grün]]</f>
        <v/>
      </c>
      <c r="J266" s="2"/>
      <c r="O266" s="2"/>
      <c r="P266" s="4"/>
      <c r="Q266" s="2"/>
      <c r="R266" s="2"/>
      <c r="S266" s="4"/>
    </row>
    <row r="267" spans="2:19">
      <c r="B267" s="1"/>
      <c r="C267" s="1"/>
      <c r="D267" s="2"/>
      <c r="E267" s="2"/>
      <c r="F267" s="2"/>
      <c r="G267" s="2"/>
      <c r="H267" s="2"/>
      <c r="I267" t="str">
        <f>OfficeForms.Table[[#This Row],[Gruppe Blau]]&amp;OfficeForms.Table[[#This Row],[Gruppe Grün]]</f>
        <v/>
      </c>
      <c r="J267" s="2"/>
      <c r="O267" s="2"/>
      <c r="P267" s="4"/>
      <c r="Q267" s="2"/>
      <c r="R267" s="2"/>
      <c r="S267" s="4"/>
    </row>
    <row r="268" spans="2:19">
      <c r="B268" s="1"/>
      <c r="C268" s="1"/>
      <c r="D268" s="2"/>
      <c r="E268" s="2"/>
      <c r="F268" s="2"/>
      <c r="G268" s="2"/>
      <c r="H268" s="2"/>
      <c r="I268" t="str">
        <f>OfficeForms.Table[[#This Row],[Gruppe Blau]]&amp;OfficeForms.Table[[#This Row],[Gruppe Grün]]</f>
        <v/>
      </c>
      <c r="J268" s="2"/>
      <c r="O268" s="2"/>
      <c r="P268" s="4"/>
      <c r="Q268" s="2"/>
      <c r="R268" s="2"/>
      <c r="S268" s="4"/>
    </row>
    <row r="269" spans="2:19">
      <c r="B269" s="1"/>
      <c r="C269" s="1"/>
      <c r="D269" s="2"/>
      <c r="E269" s="2"/>
      <c r="F269" s="2"/>
      <c r="G269" s="2"/>
      <c r="H269" s="2"/>
      <c r="I269" t="str">
        <f>OfficeForms.Table[[#This Row],[Gruppe Blau]]&amp;OfficeForms.Table[[#This Row],[Gruppe Grün]]</f>
        <v/>
      </c>
      <c r="J269" s="2"/>
      <c r="O269" s="2"/>
      <c r="P269" s="4"/>
      <c r="Q269" s="2"/>
      <c r="R269" s="2"/>
      <c r="S269" s="4"/>
    </row>
    <row r="270" spans="2:19">
      <c r="B270" s="1"/>
      <c r="C270" s="1"/>
      <c r="D270" s="2"/>
      <c r="E270" s="2"/>
      <c r="F270" s="2"/>
      <c r="G270" s="2"/>
      <c r="H270" s="2"/>
      <c r="I270" t="str">
        <f>OfficeForms.Table[[#This Row],[Gruppe Blau]]&amp;OfficeForms.Table[[#This Row],[Gruppe Grün]]</f>
        <v/>
      </c>
      <c r="J270" s="2"/>
      <c r="O270" s="2"/>
      <c r="P270" s="4"/>
      <c r="Q270" s="2"/>
      <c r="R270" s="2"/>
      <c r="S270" s="4"/>
    </row>
    <row r="271" spans="2:19">
      <c r="B271" s="1"/>
      <c r="C271" s="1"/>
      <c r="D271" s="2"/>
      <c r="E271" s="2"/>
      <c r="F271" s="2"/>
      <c r="G271" s="2"/>
      <c r="H271" s="2"/>
      <c r="I271" t="str">
        <f>OfficeForms.Table[[#This Row],[Gruppe Blau]]&amp;OfficeForms.Table[[#This Row],[Gruppe Grün]]</f>
        <v/>
      </c>
      <c r="J271" s="2"/>
      <c r="O271" s="2"/>
      <c r="P271" s="4"/>
      <c r="Q271" s="2"/>
      <c r="R271" s="2"/>
      <c r="S271" s="4"/>
    </row>
    <row r="272" spans="2:19">
      <c r="B272" s="1"/>
      <c r="C272" s="1"/>
      <c r="D272" s="2"/>
      <c r="E272" s="2"/>
      <c r="F272" s="2"/>
      <c r="G272" s="2"/>
      <c r="H272" s="2"/>
      <c r="I272" t="str">
        <f>OfficeForms.Table[[#This Row],[Gruppe Blau]]&amp;OfficeForms.Table[[#This Row],[Gruppe Grün]]</f>
        <v/>
      </c>
      <c r="J272" s="2"/>
      <c r="O272" s="2"/>
      <c r="P272" s="4"/>
      <c r="Q272" s="2"/>
      <c r="R272" s="2"/>
      <c r="S272" s="4"/>
    </row>
    <row r="273" spans="1:19">
      <c r="B273" s="1"/>
      <c r="C273" s="1"/>
      <c r="D273" s="2"/>
      <c r="E273" s="2"/>
      <c r="F273" s="2"/>
      <c r="G273" s="2"/>
      <c r="H273" s="2"/>
      <c r="I273" t="str">
        <f>OfficeForms.Table[[#This Row],[Gruppe Blau]]&amp;OfficeForms.Table[[#This Row],[Gruppe Grün]]</f>
        <v/>
      </c>
      <c r="J273" s="2"/>
      <c r="O273" s="2"/>
      <c r="P273" s="4"/>
      <c r="Q273" s="2"/>
      <c r="R273" s="2"/>
      <c r="S273" s="4"/>
    </row>
    <row r="274" spans="1:19">
      <c r="B274" s="1"/>
      <c r="C274" s="1"/>
      <c r="D274" s="2"/>
      <c r="E274" s="2"/>
      <c r="F274" s="2"/>
      <c r="G274" s="2"/>
      <c r="H274" s="2"/>
      <c r="I274" t="str">
        <f>OfficeForms.Table[[#This Row],[Gruppe Blau]]&amp;OfficeForms.Table[[#This Row],[Gruppe Grün]]</f>
        <v/>
      </c>
      <c r="J274" s="2"/>
      <c r="O274" s="2"/>
      <c r="P274" s="4"/>
      <c r="Q274" s="2"/>
      <c r="R274" s="2"/>
      <c r="S274" s="4"/>
    </row>
    <row r="275" spans="1:19">
      <c r="B275" s="1"/>
      <c r="C275" s="1"/>
      <c r="D275" s="2"/>
      <c r="E275" s="2"/>
      <c r="F275" s="2"/>
      <c r="G275" s="2"/>
      <c r="H275" s="2"/>
      <c r="I275" t="str">
        <f>OfficeForms.Table[[#This Row],[Gruppe Blau]]&amp;OfficeForms.Table[[#This Row],[Gruppe Grün]]</f>
        <v/>
      </c>
      <c r="J275" s="2"/>
      <c r="O275" s="2"/>
      <c r="P275" s="4"/>
      <c r="Q275" s="2"/>
      <c r="R275" s="2"/>
      <c r="S275" s="4"/>
    </row>
    <row r="276" spans="1:19">
      <c r="B276" s="1"/>
      <c r="C276" s="1"/>
      <c r="D276" s="2"/>
      <c r="E276" s="2"/>
      <c r="F276" s="2"/>
      <c r="G276" s="2"/>
      <c r="H276" s="2"/>
      <c r="I276" t="str">
        <f>OfficeForms.Table[[#This Row],[Gruppe Blau]]&amp;OfficeForms.Table[[#This Row],[Gruppe Grün]]</f>
        <v/>
      </c>
      <c r="J276" s="2"/>
      <c r="O276" s="2"/>
      <c r="P276" s="4"/>
      <c r="Q276" s="2"/>
      <c r="R276" s="2"/>
      <c r="S276" s="4"/>
    </row>
    <row r="277" spans="1:19">
      <c r="B277" s="1"/>
      <c r="C277" s="1"/>
      <c r="D277" s="2"/>
      <c r="E277" s="2"/>
      <c r="F277" s="2"/>
      <c r="G277" s="2"/>
      <c r="H277" s="2"/>
      <c r="I277" t="str">
        <f>OfficeForms.Table[[#This Row],[Gruppe Blau]]&amp;OfficeForms.Table[[#This Row],[Gruppe Grün]]</f>
        <v/>
      </c>
      <c r="J277" s="2"/>
      <c r="O277" s="2"/>
      <c r="P277" s="4"/>
      <c r="Q277" s="2"/>
      <c r="R277" s="2"/>
      <c r="S277" s="4"/>
    </row>
    <row r="278" spans="1:19">
      <c r="B278" s="1"/>
      <c r="C278" s="1"/>
      <c r="D278" s="2"/>
      <c r="E278" s="2"/>
      <c r="F278" s="2"/>
      <c r="G278" s="2"/>
      <c r="H278" s="2"/>
      <c r="I278" t="str">
        <f>OfficeForms.Table[[#This Row],[Gruppe Blau]]&amp;OfficeForms.Table[[#This Row],[Gruppe Grün]]</f>
        <v/>
      </c>
      <c r="J278" s="2"/>
      <c r="O278" s="2"/>
      <c r="P278" s="4"/>
      <c r="Q278" s="2"/>
      <c r="R278" s="2"/>
      <c r="S278" s="4"/>
    </row>
    <row r="279" spans="1:19">
      <c r="B279" s="1"/>
      <c r="C279" s="1"/>
      <c r="D279" s="2"/>
      <c r="E279" s="2"/>
      <c r="F279" s="2"/>
      <c r="G279" s="2"/>
      <c r="H279" s="2"/>
      <c r="I279" t="str">
        <f>OfficeForms.Table[[#This Row],[Gruppe Blau]]&amp;OfficeForms.Table[[#This Row],[Gruppe Grün]]</f>
        <v/>
      </c>
      <c r="J279" s="2"/>
      <c r="O279" s="2"/>
      <c r="P279" s="4"/>
      <c r="Q279" s="2"/>
      <c r="R279" s="2"/>
      <c r="S279" s="4"/>
    </row>
    <row r="280" spans="1:19">
      <c r="B280" s="1"/>
      <c r="C280" s="1"/>
      <c r="D280" s="2"/>
      <c r="E280" s="2"/>
      <c r="F280" s="2"/>
      <c r="G280" s="2"/>
      <c r="H280" s="2"/>
      <c r="I280" t="str">
        <f>OfficeForms.Table[[#This Row],[Gruppe Blau]]&amp;OfficeForms.Table[[#This Row],[Gruppe Grün]]</f>
        <v/>
      </c>
      <c r="J280" s="2"/>
      <c r="O280" s="2"/>
      <c r="P280" s="4"/>
      <c r="Q280" s="2"/>
      <c r="R280" s="2"/>
      <c r="S280" s="4"/>
    </row>
    <row r="281" spans="1:19">
      <c r="B281" s="1"/>
      <c r="C281" s="1"/>
      <c r="D281" s="2"/>
      <c r="E281" s="2"/>
      <c r="F281" s="2"/>
      <c r="G281" s="2"/>
      <c r="H281" s="2"/>
      <c r="I281" t="str">
        <f>OfficeForms.Table[[#This Row],[Gruppe Blau]]&amp;OfficeForms.Table[[#This Row],[Gruppe Grün]]</f>
        <v/>
      </c>
      <c r="J281" s="2"/>
      <c r="O281" s="2"/>
      <c r="P281" s="4"/>
      <c r="Q281" s="2"/>
      <c r="R281" s="2"/>
      <c r="S281" s="4"/>
    </row>
    <row r="282" spans="1:19">
      <c r="B282" s="1"/>
      <c r="C282" s="1"/>
      <c r="D282" s="2"/>
      <c r="E282" s="2"/>
      <c r="F282" s="2"/>
      <c r="G282" s="2"/>
      <c r="H282" s="2"/>
      <c r="I282" t="str">
        <f>OfficeForms.Table[[#This Row],[Gruppe Blau]]&amp;OfficeForms.Table[[#This Row],[Gruppe Grün]]</f>
        <v/>
      </c>
      <c r="J282" s="2"/>
      <c r="O282" s="2"/>
      <c r="P282" s="4"/>
      <c r="Q282" s="2"/>
      <c r="R282" s="2"/>
      <c r="S282" s="4"/>
    </row>
    <row r="283" spans="1:19">
      <c r="B283" s="1"/>
      <c r="C283" s="1"/>
      <c r="D283" s="2"/>
      <c r="E283" s="2"/>
      <c r="F283" s="2"/>
      <c r="G283" s="2"/>
      <c r="H283" s="2"/>
      <c r="I283" t="str">
        <f>OfficeForms.Table[[#This Row],[Gruppe Blau]]&amp;OfficeForms.Table[[#This Row],[Gruppe Grün]]</f>
        <v/>
      </c>
      <c r="J283" s="2"/>
      <c r="O283" s="2"/>
      <c r="P283" s="4"/>
      <c r="Q283" s="2"/>
      <c r="R283" s="2"/>
      <c r="S283" s="4"/>
    </row>
    <row r="284" spans="1:19">
      <c r="B284" s="1"/>
      <c r="C284" s="1"/>
      <c r="D284" s="2"/>
      <c r="E284" s="2"/>
      <c r="F284" s="2"/>
      <c r="G284" s="2"/>
      <c r="H284" s="2"/>
      <c r="I284" t="str">
        <f>OfficeForms.Table[[#This Row],[Gruppe Blau]]&amp;OfficeForms.Table[[#This Row],[Gruppe Grün]]</f>
        <v/>
      </c>
      <c r="J284" s="2"/>
      <c r="O284" s="2"/>
      <c r="P284" s="4"/>
      <c r="Q284" s="2"/>
      <c r="R284" s="2"/>
      <c r="S284" s="4"/>
    </row>
    <row r="285" spans="1:19">
      <c r="B285" s="1"/>
      <c r="C285" s="1"/>
      <c r="D285" s="2"/>
      <c r="E285" s="2"/>
      <c r="F285" s="2"/>
      <c r="G285" s="2"/>
      <c r="H285" s="2"/>
      <c r="I285" t="str">
        <f>OfficeForms.Table[[#This Row],[Gruppe Blau]]&amp;OfficeForms.Table[[#This Row],[Gruppe Grün]]</f>
        <v/>
      </c>
      <c r="J285" s="2"/>
      <c r="O285" s="2"/>
      <c r="P285" s="4"/>
      <c r="Q285" s="2"/>
      <c r="R285" s="2"/>
      <c r="S285" s="4"/>
    </row>
    <row r="286" spans="1:19">
      <c r="B286" s="1"/>
      <c r="C286" s="1"/>
      <c r="D286" s="2"/>
      <c r="E286" s="2"/>
      <c r="F286" s="2"/>
      <c r="G286" s="2"/>
      <c r="H286" s="2"/>
      <c r="I286" t="str">
        <f>OfficeForms.Table[[#This Row],[Gruppe Blau]]&amp;OfficeForms.Table[[#This Row],[Gruppe Grün]]</f>
        <v/>
      </c>
      <c r="J286" s="2"/>
      <c r="O286" s="2"/>
      <c r="P286" s="4"/>
      <c r="Q286" s="2"/>
      <c r="R286" s="2"/>
      <c r="S286" s="4"/>
    </row>
    <row r="287" spans="1:19">
      <c r="B287" s="1"/>
      <c r="C287" s="1"/>
      <c r="D287" s="2"/>
      <c r="E287" s="2"/>
      <c r="F287" s="2"/>
      <c r="G287" s="2"/>
      <c r="H287" s="2"/>
      <c r="I287" t="str">
        <f>OfficeForms.Table[[#This Row],[Gruppe Blau]]&amp;OfficeForms.Table[[#This Row],[Gruppe Grün]]</f>
        <v/>
      </c>
      <c r="J287" s="2"/>
      <c r="O287" s="2"/>
      <c r="P287" s="4"/>
      <c r="Q287" s="2"/>
      <c r="R287" s="2"/>
      <c r="S287" s="4"/>
    </row>
    <row r="288" spans="1:19">
      <c r="A288" s="7">
        <v>288</v>
      </c>
      <c r="B288" s="1">
        <v>45468.580150463</v>
      </c>
      <c r="C288" s="1">
        <v>45468.603009259299</v>
      </c>
      <c r="D288" s="2" t="s">
        <v>19</v>
      </c>
      <c r="E288" s="2"/>
      <c r="F288" s="2" t="s">
        <v>20</v>
      </c>
      <c r="G288" s="2" t="s">
        <v>37</v>
      </c>
      <c r="H288" s="2"/>
      <c r="I288" s="7" t="str">
        <f>OfficeForms.Table[[#This Row],[Gruppe Blau]]&amp;OfficeForms.Table[[#This Row],[Gruppe Grün]]</f>
        <v>Katze blau</v>
      </c>
      <c r="J288" s="2" t="s">
        <v>10</v>
      </c>
      <c r="K288" s="7">
        <v>6.375</v>
      </c>
      <c r="L288" s="7"/>
      <c r="M288" s="7"/>
      <c r="N288" s="7"/>
      <c r="O288" s="2"/>
      <c r="P288" s="4"/>
      <c r="Q288" s="2"/>
      <c r="R288" s="2"/>
      <c r="S288" s="4"/>
    </row>
    <row r="289" spans="1:19">
      <c r="A289" s="7">
        <v>289</v>
      </c>
      <c r="B289" s="1">
        <v>45468.590381944399</v>
      </c>
      <c r="C289" s="1">
        <v>45468.603009259299</v>
      </c>
      <c r="D289" s="2" t="s">
        <v>19</v>
      </c>
      <c r="E289" s="2"/>
      <c r="F289" s="2" t="s">
        <v>22</v>
      </c>
      <c r="G289" s="2"/>
      <c r="H289" s="2" t="s">
        <v>52</v>
      </c>
      <c r="I289" s="7" t="str">
        <f>OfficeForms.Table[[#This Row],[Gruppe Blau]]&amp;OfficeForms.Table[[#This Row],[Gruppe Grün]]</f>
        <v>Katze grün</v>
      </c>
      <c r="J289" s="2" t="s">
        <v>10</v>
      </c>
      <c r="K289" s="7">
        <v>6.3</v>
      </c>
      <c r="L289" s="7"/>
      <c r="M289" s="7"/>
      <c r="N289" s="7"/>
      <c r="O289" s="2"/>
      <c r="P289" s="4"/>
      <c r="Q289" s="2"/>
      <c r="R289" s="2"/>
      <c r="S289" s="4"/>
    </row>
    <row r="290" spans="1:19">
      <c r="A290" s="7">
        <v>290</v>
      </c>
      <c r="B290" s="1">
        <v>45468.597789351901</v>
      </c>
      <c r="C290" s="1">
        <v>45468.6032291667</v>
      </c>
      <c r="D290" s="2" t="s">
        <v>19</v>
      </c>
      <c r="E290" s="2"/>
      <c r="F290" s="2" t="s">
        <v>22</v>
      </c>
      <c r="G290" s="2"/>
      <c r="H290" s="2" t="s">
        <v>34</v>
      </c>
      <c r="I290" s="7" t="str">
        <f>OfficeForms.Table[[#This Row],[Gruppe Blau]]&amp;OfficeForms.Table[[#This Row],[Gruppe Grün]]</f>
        <v>Elefant grün</v>
      </c>
      <c r="J290" s="2" t="s">
        <v>10</v>
      </c>
      <c r="K290" s="7">
        <v>6</v>
      </c>
      <c r="L290" s="7"/>
      <c r="M290" s="7"/>
      <c r="N290" s="7"/>
      <c r="O290" s="2"/>
      <c r="P290" s="4"/>
      <c r="Q290" s="2"/>
      <c r="R290" s="2"/>
      <c r="S290" s="4"/>
    </row>
    <row r="291" spans="1:19">
      <c r="A291" s="7">
        <v>291</v>
      </c>
      <c r="B291" s="1">
        <v>45468.558981481503</v>
      </c>
      <c r="C291" s="1">
        <v>45468.603252314802</v>
      </c>
      <c r="D291" s="2" t="s">
        <v>19</v>
      </c>
      <c r="E291" s="2"/>
      <c r="F291" s="2" t="s">
        <v>20</v>
      </c>
      <c r="G291" s="2" t="s">
        <v>48</v>
      </c>
      <c r="H291" s="2"/>
      <c r="I291" s="7" t="str">
        <f>OfficeForms.Table[[#This Row],[Gruppe Blau]]&amp;OfficeForms.Table[[#This Row],[Gruppe Grün]]</f>
        <v>Elefant blau</v>
      </c>
      <c r="J291" s="2" t="s">
        <v>10</v>
      </c>
      <c r="K291" s="7">
        <v>6.1</v>
      </c>
      <c r="L291" s="7"/>
      <c r="M291" s="7"/>
      <c r="N291" s="7"/>
      <c r="O291" s="2"/>
      <c r="P291" s="4"/>
      <c r="Q291" s="2"/>
      <c r="R291" s="2"/>
      <c r="S291" s="4"/>
    </row>
    <row r="292" spans="1:19">
      <c r="A292" s="7">
        <v>292</v>
      </c>
      <c r="B292" s="1">
        <v>45468.6030439815</v>
      </c>
      <c r="C292" s="1">
        <v>45468.606516203698</v>
      </c>
      <c r="D292" s="2" t="s">
        <v>19</v>
      </c>
      <c r="E292" s="2"/>
      <c r="F292" s="2" t="s">
        <v>20</v>
      </c>
      <c r="G292" s="2" t="s">
        <v>40</v>
      </c>
      <c r="H292" s="2"/>
      <c r="I292" s="7" t="str">
        <f>OfficeForms.Table[[#This Row],[Gruppe Blau]]&amp;OfficeForms.Table[[#This Row],[Gruppe Grün]]</f>
        <v>Schmetterling blau</v>
      </c>
      <c r="J292" s="2" t="s">
        <v>10</v>
      </c>
      <c r="K292" s="7">
        <v>5.9</v>
      </c>
      <c r="L292" s="7"/>
      <c r="M292" s="7"/>
      <c r="N292" s="7"/>
      <c r="O292" s="2"/>
      <c r="P292" s="4"/>
      <c r="Q292" s="2"/>
      <c r="R292" s="2"/>
      <c r="S292" s="4"/>
    </row>
    <row r="293" spans="1:19">
      <c r="A293" s="7">
        <v>293</v>
      </c>
      <c r="B293" s="1">
        <v>45468.603055555599</v>
      </c>
      <c r="C293" s="1">
        <v>45468.606655092597</v>
      </c>
      <c r="D293" s="2" t="s">
        <v>19</v>
      </c>
      <c r="E293" s="2"/>
      <c r="F293" s="2" t="s">
        <v>20</v>
      </c>
      <c r="G293" s="2" t="s">
        <v>40</v>
      </c>
      <c r="H293" s="2"/>
      <c r="I293" s="7" t="str">
        <f>OfficeForms.Table[[#This Row],[Gruppe Blau]]&amp;OfficeForms.Table[[#This Row],[Gruppe Grün]]</f>
        <v>Schmetterling blau</v>
      </c>
      <c r="J293" s="2" t="s">
        <v>10</v>
      </c>
      <c r="K293" s="7">
        <v>6.6</v>
      </c>
      <c r="L293" s="7"/>
      <c r="M293" s="7"/>
      <c r="N293" s="7"/>
      <c r="O293" s="2"/>
      <c r="P293" s="4"/>
      <c r="Q293" s="2"/>
      <c r="R293" s="2"/>
      <c r="S293" s="4"/>
    </row>
    <row r="294" spans="1:19">
      <c r="A294" s="7">
        <v>294</v>
      </c>
      <c r="B294" s="1">
        <v>45468.603310185201</v>
      </c>
      <c r="C294" s="1">
        <v>45468.606793981497</v>
      </c>
      <c r="D294" s="2" t="s">
        <v>19</v>
      </c>
      <c r="E294" s="2"/>
      <c r="F294" s="2" t="s">
        <v>20</v>
      </c>
      <c r="G294" s="2" t="s">
        <v>47</v>
      </c>
      <c r="H294" s="2"/>
      <c r="I294" s="7" t="str">
        <f>OfficeForms.Table[[#This Row],[Gruppe Blau]]&amp;OfficeForms.Table[[#This Row],[Gruppe Grün]]</f>
        <v>Delfin blau</v>
      </c>
      <c r="J294" s="2" t="s">
        <v>10</v>
      </c>
      <c r="K294" s="7">
        <v>6.3</v>
      </c>
      <c r="L294" s="7"/>
      <c r="M294" s="7"/>
      <c r="N294" s="7"/>
      <c r="O294" s="2"/>
      <c r="P294" s="4"/>
      <c r="Q294" s="2"/>
      <c r="R294" s="2"/>
      <c r="S294" s="4"/>
    </row>
    <row r="295" spans="1:19">
      <c r="A295" s="7">
        <v>295</v>
      </c>
      <c r="B295" s="1">
        <v>45468.605636574102</v>
      </c>
      <c r="C295" s="1">
        <v>45468.607013888897</v>
      </c>
      <c r="D295" s="2" t="s">
        <v>19</v>
      </c>
      <c r="E295" s="2"/>
      <c r="F295" s="2" t="s">
        <v>22</v>
      </c>
      <c r="G295" s="2"/>
      <c r="H295" s="2" t="s">
        <v>33</v>
      </c>
      <c r="I295" s="7" t="str">
        <f>OfficeForms.Table[[#This Row],[Gruppe Blau]]&amp;OfficeForms.Table[[#This Row],[Gruppe Grün]]</f>
        <v>Delfin grün</v>
      </c>
      <c r="J295" s="2" t="s">
        <v>10</v>
      </c>
      <c r="K295" s="7">
        <v>5.3780000000000001</v>
      </c>
      <c r="L295" s="7"/>
      <c r="M295" s="7"/>
      <c r="N295" s="7"/>
      <c r="O295" s="2"/>
      <c r="P295" s="4"/>
      <c r="Q295" s="2"/>
      <c r="R295" s="2"/>
      <c r="S295" s="4"/>
    </row>
    <row r="296" spans="1:19">
      <c r="A296" s="7">
        <v>296</v>
      </c>
      <c r="B296" s="1">
        <v>45468.606608796297</v>
      </c>
      <c r="C296" s="1">
        <v>45468.6094675926</v>
      </c>
      <c r="D296" s="2" t="s">
        <v>19</v>
      </c>
      <c r="E296" s="2"/>
      <c r="F296" s="2" t="s">
        <v>22</v>
      </c>
      <c r="G296" s="2"/>
      <c r="H296" s="2" t="s">
        <v>49</v>
      </c>
      <c r="I296" s="7" t="str">
        <f>OfficeForms.Table[[#This Row],[Gruppe Blau]]&amp;OfficeForms.Table[[#This Row],[Gruppe Grün]]</f>
        <v>Igel grün</v>
      </c>
      <c r="J296" s="2" t="s">
        <v>10</v>
      </c>
      <c r="K296" s="7">
        <v>5.9</v>
      </c>
      <c r="L296" s="7"/>
      <c r="M296" s="7"/>
      <c r="N296" s="7"/>
      <c r="O296" s="2"/>
      <c r="P296" s="4"/>
      <c r="Q296" s="2"/>
      <c r="R296" s="2"/>
      <c r="S296" s="4"/>
    </row>
    <row r="297" spans="1:19">
      <c r="A297" s="7">
        <v>297</v>
      </c>
      <c r="B297" s="1">
        <v>45468.606782407398</v>
      </c>
      <c r="C297" s="1">
        <v>45468.609490740702</v>
      </c>
      <c r="D297" s="2" t="s">
        <v>19</v>
      </c>
      <c r="E297" s="2"/>
      <c r="F297" s="2" t="s">
        <v>20</v>
      </c>
      <c r="G297" s="2" t="s">
        <v>32</v>
      </c>
      <c r="H297" s="2"/>
      <c r="I297" s="7" t="str">
        <f>OfficeForms.Table[[#This Row],[Gruppe Blau]]&amp;OfficeForms.Table[[#This Row],[Gruppe Grün]]</f>
        <v>Igel blau</v>
      </c>
      <c r="J297" s="2" t="s">
        <v>10</v>
      </c>
      <c r="K297" s="7">
        <v>5.875</v>
      </c>
      <c r="L297" s="7"/>
      <c r="M297" s="7"/>
      <c r="N297" s="7"/>
      <c r="O297" s="2"/>
      <c r="P297" s="4"/>
      <c r="Q297" s="2"/>
      <c r="R297" s="2"/>
      <c r="S297" s="4"/>
    </row>
    <row r="298" spans="1:19">
      <c r="A298" s="7">
        <v>298</v>
      </c>
      <c r="B298" s="1">
        <v>45468.606817129599</v>
      </c>
      <c r="C298" s="1">
        <v>45468.6097337963</v>
      </c>
      <c r="D298" s="2" t="s">
        <v>19</v>
      </c>
      <c r="E298" s="2"/>
      <c r="F298" s="2" t="s">
        <v>20</v>
      </c>
      <c r="G298" s="2" t="s">
        <v>36</v>
      </c>
      <c r="H298" s="2"/>
      <c r="I298" s="7" t="str">
        <f>OfficeForms.Table[[#This Row],[Gruppe Blau]]&amp;OfficeForms.Table[[#This Row],[Gruppe Grün]]</f>
        <v>Affe blau</v>
      </c>
      <c r="J298" s="2" t="s">
        <v>10</v>
      </c>
      <c r="K298" s="7">
        <v>5.8</v>
      </c>
      <c r="L298" s="7"/>
      <c r="M298" s="7"/>
      <c r="N298" s="7"/>
      <c r="O298" s="2"/>
      <c r="P298" s="4"/>
      <c r="Q298" s="2"/>
      <c r="R298" s="2"/>
      <c r="S298" s="4"/>
    </row>
    <row r="299" spans="1:19">
      <c r="A299" s="7">
        <v>299</v>
      </c>
      <c r="B299" s="1">
        <v>45468.607037037</v>
      </c>
      <c r="C299" s="1">
        <v>45468.609814814801</v>
      </c>
      <c r="D299" s="2" t="s">
        <v>19</v>
      </c>
      <c r="E299" s="2"/>
      <c r="F299" s="2" t="s">
        <v>22</v>
      </c>
      <c r="G299" s="2"/>
      <c r="H299" s="2" t="s">
        <v>28</v>
      </c>
      <c r="I299" s="7" t="str">
        <f>OfficeForms.Table[[#This Row],[Gruppe Blau]]&amp;OfficeForms.Table[[#This Row],[Gruppe Grün]]</f>
        <v>Affe grün</v>
      </c>
      <c r="J299" s="2" t="s">
        <v>10</v>
      </c>
      <c r="K299" s="7">
        <v>5.8570000000000002</v>
      </c>
      <c r="L299" s="7"/>
      <c r="M299" s="7"/>
      <c r="N299" s="7"/>
      <c r="O299" s="2"/>
      <c r="P299" s="4"/>
      <c r="Q299" s="2"/>
      <c r="R299" s="2"/>
      <c r="S299" s="4"/>
    </row>
    <row r="300" spans="1:19">
      <c r="A300" s="7">
        <v>300</v>
      </c>
      <c r="B300" s="1">
        <v>45468.609548611101</v>
      </c>
      <c r="C300" s="1">
        <v>45468.612500000003</v>
      </c>
      <c r="D300" s="2" t="s">
        <v>19</v>
      </c>
      <c r="E300" s="2"/>
      <c r="F300" s="2" t="s">
        <v>20</v>
      </c>
      <c r="G300" s="2" t="s">
        <v>53</v>
      </c>
      <c r="H300" s="2"/>
      <c r="I300" s="7" t="str">
        <f>OfficeForms.Table[[#This Row],[Gruppe Blau]]&amp;OfficeForms.Table[[#This Row],[Gruppe Grün]]</f>
        <v>Fuchs blau</v>
      </c>
      <c r="J300" s="2" t="s">
        <v>10</v>
      </c>
      <c r="K300" s="7">
        <v>6.5</v>
      </c>
      <c r="L300" s="7"/>
      <c r="M300" s="7"/>
      <c r="N300" s="7"/>
      <c r="O300" s="2"/>
      <c r="P300" s="4"/>
      <c r="Q300" s="2"/>
      <c r="R300" s="2"/>
      <c r="S300" s="4"/>
    </row>
    <row r="301" spans="1:19">
      <c r="A301" s="7">
        <v>301</v>
      </c>
      <c r="B301" s="1">
        <v>45468.609502314801</v>
      </c>
      <c r="C301" s="1">
        <v>45468.612627314797</v>
      </c>
      <c r="D301" s="2" t="s">
        <v>19</v>
      </c>
      <c r="E301" s="2"/>
      <c r="F301" s="2" t="s">
        <v>22</v>
      </c>
      <c r="G301" s="2"/>
      <c r="H301" s="2" t="s">
        <v>25</v>
      </c>
      <c r="I301" s="7" t="str">
        <f>OfficeForms.Table[[#This Row],[Gruppe Blau]]&amp;OfficeForms.Table[[#This Row],[Gruppe Grün]]</f>
        <v>Fuchs grün</v>
      </c>
      <c r="J301" s="2" t="s">
        <v>10</v>
      </c>
      <c r="K301" s="7">
        <v>5.7</v>
      </c>
      <c r="L301" s="7"/>
      <c r="M301" s="7"/>
      <c r="N301" s="7"/>
      <c r="O301" s="2"/>
      <c r="P301" s="4"/>
      <c r="Q301" s="2"/>
      <c r="R301" s="2"/>
      <c r="S301" s="4"/>
    </row>
    <row r="302" spans="1:19">
      <c r="A302" s="7">
        <v>302</v>
      </c>
      <c r="B302" s="1">
        <v>45468.609756944403</v>
      </c>
      <c r="C302" s="1">
        <v>45468.612835648099</v>
      </c>
      <c r="D302" s="2" t="s">
        <v>19</v>
      </c>
      <c r="E302" s="2"/>
      <c r="F302" s="2" t="s">
        <v>20</v>
      </c>
      <c r="G302" s="2" t="s">
        <v>27</v>
      </c>
      <c r="H302" s="2"/>
      <c r="I302" s="7" t="str">
        <f>OfficeForms.Table[[#This Row],[Gruppe Blau]]&amp;OfficeForms.Table[[#This Row],[Gruppe Grün]]</f>
        <v>Panda blau</v>
      </c>
      <c r="J302" s="2" t="s">
        <v>10</v>
      </c>
      <c r="K302" s="7">
        <v>6.1</v>
      </c>
      <c r="L302" s="7"/>
      <c r="M302" s="7"/>
      <c r="N302" s="7"/>
      <c r="O302" s="2"/>
      <c r="P302" s="4"/>
      <c r="Q302" s="2"/>
      <c r="R302" s="2"/>
      <c r="S302" s="4"/>
    </row>
    <row r="303" spans="1:19">
      <c r="A303" s="7">
        <v>303</v>
      </c>
      <c r="B303" s="1">
        <v>45468.609837962998</v>
      </c>
      <c r="C303" s="1">
        <v>45468.613020833298</v>
      </c>
      <c r="D303" s="2" t="s">
        <v>19</v>
      </c>
      <c r="E303" s="2"/>
      <c r="F303" s="2" t="s">
        <v>22</v>
      </c>
      <c r="G303" s="2"/>
      <c r="H303" s="2" t="s">
        <v>50</v>
      </c>
      <c r="I303" s="7" t="str">
        <f>OfficeForms.Table[[#This Row],[Gruppe Blau]]&amp;OfficeForms.Table[[#This Row],[Gruppe Grün]]</f>
        <v>Panda grün</v>
      </c>
      <c r="J303" s="2" t="s">
        <v>10</v>
      </c>
      <c r="K303" s="7">
        <v>6.25</v>
      </c>
      <c r="L303" s="7"/>
      <c r="M303" s="7"/>
      <c r="N303" s="7"/>
      <c r="O303" s="2"/>
      <c r="P303" s="4"/>
      <c r="Q303" s="2"/>
      <c r="R303" s="2"/>
      <c r="S303" s="4"/>
    </row>
    <row r="304" spans="1:19">
      <c r="A304" s="7">
        <v>304</v>
      </c>
      <c r="B304" s="1">
        <v>45468.612847222197</v>
      </c>
      <c r="C304" s="1">
        <v>45468.615428240701</v>
      </c>
      <c r="D304" s="2" t="s">
        <v>19</v>
      </c>
      <c r="E304" s="2"/>
      <c r="F304" s="2" t="s">
        <v>22</v>
      </c>
      <c r="G304" s="2"/>
      <c r="H304" s="2" t="s">
        <v>51</v>
      </c>
      <c r="I304" s="7" t="str">
        <f>OfficeForms.Table[[#This Row],[Gruppe Blau]]&amp;OfficeForms.Table[[#This Row],[Gruppe Grün]]</f>
        <v>Schlange grün</v>
      </c>
      <c r="J304" s="2" t="s">
        <v>10</v>
      </c>
      <c r="K304" s="7">
        <v>6</v>
      </c>
      <c r="L304" s="7"/>
      <c r="M304" s="7"/>
      <c r="N304" s="7"/>
      <c r="O304" s="2"/>
      <c r="P304" s="4"/>
      <c r="Q304" s="2"/>
      <c r="R304" s="2"/>
      <c r="S304" s="4"/>
    </row>
    <row r="305" spans="1:19">
      <c r="A305" s="7">
        <v>305</v>
      </c>
      <c r="B305" s="1">
        <v>45468.612592592603</v>
      </c>
      <c r="C305" s="1">
        <v>45468.615787037001</v>
      </c>
      <c r="D305" s="2" t="s">
        <v>19</v>
      </c>
      <c r="E305" s="2"/>
      <c r="F305" s="2" t="s">
        <v>20</v>
      </c>
      <c r="G305" s="2" t="s">
        <v>39</v>
      </c>
      <c r="H305" s="2"/>
      <c r="I305" s="7" t="str">
        <f>OfficeForms.Table[[#This Row],[Gruppe Blau]]&amp;OfficeForms.Table[[#This Row],[Gruppe Grün]]</f>
        <v>Schlange blau</v>
      </c>
      <c r="J305" s="2" t="s">
        <v>10</v>
      </c>
      <c r="K305" s="7">
        <v>5.875</v>
      </c>
      <c r="L305" s="7"/>
      <c r="M305" s="7"/>
      <c r="N305" s="7"/>
      <c r="O305" s="2"/>
      <c r="P305" s="4"/>
      <c r="Q305" s="2"/>
      <c r="R305" s="2"/>
      <c r="S305" s="4"/>
    </row>
    <row r="306" spans="1:19">
      <c r="A306" s="7">
        <v>306</v>
      </c>
      <c r="B306" s="1">
        <v>45468.612858796303</v>
      </c>
      <c r="C306" s="1">
        <v>45468.616157407399</v>
      </c>
      <c r="D306" s="2" t="s">
        <v>19</v>
      </c>
      <c r="E306" s="2"/>
      <c r="F306" s="2" t="s">
        <v>20</v>
      </c>
      <c r="G306" s="2" t="s">
        <v>45</v>
      </c>
      <c r="H306" s="2"/>
      <c r="I306" s="7" t="str">
        <f>OfficeForms.Table[[#This Row],[Gruppe Blau]]&amp;OfficeForms.Table[[#This Row],[Gruppe Grün]]</f>
        <v>Tiger blau</v>
      </c>
      <c r="J306" s="2" t="s">
        <v>10</v>
      </c>
      <c r="K306" s="7">
        <v>5.7</v>
      </c>
      <c r="L306" s="7"/>
      <c r="M306" s="7"/>
      <c r="N306" s="7"/>
      <c r="O306" s="2"/>
      <c r="P306" s="4"/>
      <c r="Q306" s="2"/>
      <c r="R306" s="2"/>
      <c r="S306" s="4"/>
    </row>
    <row r="307" spans="1:19">
      <c r="A307" s="7">
        <v>307</v>
      </c>
      <c r="B307" s="1">
        <v>45468.613055555601</v>
      </c>
      <c r="C307" s="1">
        <v>45468.616180555597</v>
      </c>
      <c r="D307" s="2" t="s">
        <v>19</v>
      </c>
      <c r="E307" s="2"/>
      <c r="F307" s="2" t="s">
        <v>22</v>
      </c>
      <c r="G307" s="2"/>
      <c r="H307" s="2" t="s">
        <v>35</v>
      </c>
      <c r="I307" s="7" t="str">
        <f>OfficeForms.Table[[#This Row],[Gruppe Blau]]&amp;OfficeForms.Table[[#This Row],[Gruppe Grün]]</f>
        <v>Tiger grün</v>
      </c>
      <c r="J307" s="2" t="s">
        <v>10</v>
      </c>
      <c r="K307" s="7">
        <v>5.75</v>
      </c>
      <c r="L307" s="7"/>
      <c r="M307" s="7"/>
      <c r="N307" s="7"/>
      <c r="O307" s="2"/>
      <c r="P307" s="4"/>
      <c r="Q307" s="2"/>
      <c r="R307" s="2"/>
      <c r="S307" s="4"/>
    </row>
    <row r="308" spans="1:19">
      <c r="A308" s="7">
        <v>308</v>
      </c>
      <c r="B308" s="1">
        <v>45468.615601851903</v>
      </c>
      <c r="C308" s="1">
        <v>45468.618969907402</v>
      </c>
      <c r="D308" s="2" t="s">
        <v>19</v>
      </c>
      <c r="E308" s="2"/>
      <c r="F308" s="2" t="s">
        <v>22</v>
      </c>
      <c r="G308" s="2"/>
      <c r="H308" s="2" t="s">
        <v>30</v>
      </c>
      <c r="I308" s="7" t="str">
        <f>OfficeForms.Table[[#This Row],[Gruppe Blau]]&amp;OfficeForms.Table[[#This Row],[Gruppe Grün]]</f>
        <v>Schildkröte grün</v>
      </c>
      <c r="J308" s="2" t="s">
        <v>10</v>
      </c>
      <c r="K308" s="7">
        <v>6.6</v>
      </c>
      <c r="L308" s="7"/>
      <c r="M308" s="7"/>
      <c r="N308" s="7"/>
      <c r="O308" s="2"/>
      <c r="P308" s="4"/>
      <c r="Q308" s="2"/>
      <c r="R308" s="2"/>
      <c r="S308" s="4"/>
    </row>
    <row r="309" spans="1:19">
      <c r="A309" s="7">
        <v>309</v>
      </c>
      <c r="B309" s="1">
        <v>45468.615856481498</v>
      </c>
      <c r="C309" s="1">
        <v>45468.6194791667</v>
      </c>
      <c r="D309" s="2" t="s">
        <v>19</v>
      </c>
      <c r="E309" s="2"/>
      <c r="F309" s="2" t="s">
        <v>20</v>
      </c>
      <c r="G309" s="2" t="s">
        <v>43</v>
      </c>
      <c r="H309" s="2"/>
      <c r="I309" s="7" t="str">
        <f>OfficeForms.Table[[#This Row],[Gruppe Blau]]&amp;OfficeForms.Table[[#This Row],[Gruppe Grün]]</f>
        <v>Schildkröte blau</v>
      </c>
      <c r="J309" s="2" t="s">
        <v>10</v>
      </c>
      <c r="K309" s="7">
        <v>6.375</v>
      </c>
      <c r="L309" s="7"/>
      <c r="M309" s="7"/>
      <c r="N309" s="7"/>
      <c r="O309" s="2"/>
      <c r="P309" s="4"/>
      <c r="Q309" s="2"/>
      <c r="R309" s="2"/>
      <c r="S309" s="4"/>
    </row>
    <row r="310" spans="1:19">
      <c r="A310" s="7">
        <v>310</v>
      </c>
      <c r="B310" s="1">
        <v>45468.616180555597</v>
      </c>
      <c r="C310" s="1">
        <v>45468.6195717593</v>
      </c>
      <c r="D310" s="2" t="s">
        <v>19</v>
      </c>
      <c r="E310" s="2"/>
      <c r="F310" s="2" t="s">
        <v>20</v>
      </c>
      <c r="G310" s="2" t="s">
        <v>42</v>
      </c>
      <c r="H310" s="2"/>
      <c r="I310" s="7" t="str">
        <f>OfficeForms.Table[[#This Row],[Gruppe Blau]]&amp;OfficeForms.Table[[#This Row],[Gruppe Grün]]</f>
        <v>Schaf blau</v>
      </c>
      <c r="J310" s="2" t="s">
        <v>10</v>
      </c>
      <c r="K310" s="7">
        <v>5.7</v>
      </c>
      <c r="L310" s="7"/>
      <c r="M310" s="7"/>
      <c r="N310" s="7"/>
      <c r="O310" s="2"/>
      <c r="P310" s="4"/>
      <c r="Q310" s="2"/>
      <c r="R310" s="2"/>
      <c r="S310" s="4"/>
    </row>
    <row r="311" spans="1:19">
      <c r="A311" s="7">
        <v>311</v>
      </c>
      <c r="B311" s="1">
        <v>45468.616192129601</v>
      </c>
      <c r="C311" s="1">
        <v>45468.619768518503</v>
      </c>
      <c r="D311" s="2" t="s">
        <v>19</v>
      </c>
      <c r="E311" s="2"/>
      <c r="F311" s="2" t="s">
        <v>22</v>
      </c>
      <c r="G311" s="2"/>
      <c r="H311" s="2" t="s">
        <v>29</v>
      </c>
      <c r="I311" s="7" t="str">
        <f>OfficeForms.Table[[#This Row],[Gruppe Blau]]&amp;OfficeForms.Table[[#This Row],[Gruppe Grün]]</f>
        <v>Schaf grün</v>
      </c>
      <c r="J311" s="2" t="s">
        <v>10</v>
      </c>
      <c r="K311" s="7">
        <v>6.125</v>
      </c>
      <c r="L311" s="7"/>
      <c r="M311" s="7"/>
      <c r="N311" s="7"/>
      <c r="O311" s="2"/>
      <c r="P311" s="4"/>
      <c r="Q311" s="2"/>
      <c r="R311" s="2"/>
      <c r="S311" s="4"/>
    </row>
    <row r="312" spans="1:19">
      <c r="A312" s="7">
        <v>312</v>
      </c>
      <c r="B312" s="1">
        <v>45468.619027777801</v>
      </c>
      <c r="C312" s="1">
        <v>45468.622199074103</v>
      </c>
      <c r="D312" s="2" t="s">
        <v>19</v>
      </c>
      <c r="E312" s="2"/>
      <c r="F312" s="2" t="s">
        <v>22</v>
      </c>
      <c r="G312" s="2"/>
      <c r="H312" s="2" t="s">
        <v>24</v>
      </c>
      <c r="I312" s="7" t="str">
        <f>OfficeForms.Table[[#This Row],[Gruppe Blau]]&amp;OfficeForms.Table[[#This Row],[Gruppe Grün]]</f>
        <v>Eule grün</v>
      </c>
      <c r="J312" s="2" t="s">
        <v>10</v>
      </c>
      <c r="K312" s="7">
        <v>6.2</v>
      </c>
      <c r="L312" s="7"/>
      <c r="M312" s="7"/>
      <c r="N312" s="7"/>
      <c r="O312" s="2"/>
      <c r="P312" s="4"/>
      <c r="Q312" s="2"/>
      <c r="R312" s="2"/>
      <c r="S312" s="4"/>
    </row>
    <row r="313" spans="1:19">
      <c r="A313" s="7">
        <v>313</v>
      </c>
      <c r="B313" s="1">
        <v>45468.619791666701</v>
      </c>
      <c r="C313" s="1">
        <v>45468.622743055603</v>
      </c>
      <c r="D313" s="2" t="s">
        <v>19</v>
      </c>
      <c r="E313" s="2"/>
      <c r="F313" s="2" t="s">
        <v>22</v>
      </c>
      <c r="G313" s="2"/>
      <c r="H313" s="2" t="s">
        <v>23</v>
      </c>
      <c r="I313" s="7" t="str">
        <f>OfficeForms.Table[[#This Row],[Gruppe Blau]]&amp;OfficeForms.Table[[#This Row],[Gruppe Grün]]</f>
        <v>Krebs grün</v>
      </c>
      <c r="J313" s="2" t="s">
        <v>10</v>
      </c>
      <c r="K313" s="7">
        <v>5.8570000000000002</v>
      </c>
      <c r="L313" s="7"/>
      <c r="M313" s="7"/>
      <c r="N313" s="7"/>
      <c r="O313" s="2"/>
      <c r="P313" s="4"/>
      <c r="Q313" s="2"/>
      <c r="R313" s="2"/>
      <c r="S313" s="4"/>
    </row>
    <row r="314" spans="1:19">
      <c r="A314" s="7">
        <v>314</v>
      </c>
      <c r="B314" s="1">
        <v>45468.619583333297</v>
      </c>
      <c r="C314" s="1">
        <v>45468.622916666704</v>
      </c>
      <c r="D314" s="2" t="s">
        <v>19</v>
      </c>
      <c r="E314" s="2"/>
      <c r="F314" s="2" t="s">
        <v>20</v>
      </c>
      <c r="G314" s="2" t="s">
        <v>26</v>
      </c>
      <c r="H314" s="2"/>
      <c r="I314" s="7" t="str">
        <f>OfficeForms.Table[[#This Row],[Gruppe Blau]]&amp;OfficeForms.Table[[#This Row],[Gruppe Grün]]</f>
        <v>Krebs blau</v>
      </c>
      <c r="J314" s="2" t="s">
        <v>10</v>
      </c>
      <c r="K314" s="7">
        <v>6.1</v>
      </c>
      <c r="L314" s="7"/>
      <c r="M314" s="7"/>
      <c r="N314" s="7"/>
      <c r="O314" s="2"/>
      <c r="P314" s="4"/>
      <c r="Q314" s="2"/>
      <c r="R314" s="2"/>
      <c r="S314" s="4"/>
    </row>
    <row r="315" spans="1:19">
      <c r="A315" s="7">
        <v>315</v>
      </c>
      <c r="B315" s="1">
        <v>45468.619675925896</v>
      </c>
      <c r="C315" s="1">
        <v>45468.623182870397</v>
      </c>
      <c r="D315" s="2" t="s">
        <v>19</v>
      </c>
      <c r="E315" s="2"/>
      <c r="F315" s="2" t="s">
        <v>20</v>
      </c>
      <c r="G315" s="2" t="s">
        <v>46</v>
      </c>
      <c r="H315" s="2"/>
      <c r="I315" s="7" t="str">
        <f>OfficeForms.Table[[#This Row],[Gruppe Blau]]&amp;OfficeForms.Table[[#This Row],[Gruppe Grün]]</f>
        <v>Eule blau</v>
      </c>
      <c r="J315" s="2" t="s">
        <v>10</v>
      </c>
      <c r="K315" s="7">
        <v>6.8330000000000002</v>
      </c>
      <c r="L315" s="7"/>
      <c r="M315" s="7"/>
      <c r="N315" s="7"/>
      <c r="O315" s="2"/>
      <c r="P315" s="4"/>
      <c r="Q315" s="2"/>
      <c r="R315" s="2"/>
      <c r="S315" s="4"/>
    </row>
    <row r="316" spans="1:19">
      <c r="A316" s="7">
        <v>316</v>
      </c>
      <c r="B316" s="1">
        <v>45468.622222222199</v>
      </c>
      <c r="C316" s="1">
        <v>45468.626516203702</v>
      </c>
      <c r="D316" s="2" t="s">
        <v>19</v>
      </c>
      <c r="E316" s="2"/>
      <c r="F316" s="2" t="s">
        <v>22</v>
      </c>
      <c r="G316" s="2"/>
      <c r="H316" s="2" t="s">
        <v>38</v>
      </c>
      <c r="I316" s="7" t="str">
        <f>OfficeForms.Table[[#This Row],[Gruppe Blau]]&amp;OfficeForms.Table[[#This Row],[Gruppe Grün]]</f>
        <v>Nilpferd grün</v>
      </c>
      <c r="J316" s="2" t="s">
        <v>10</v>
      </c>
      <c r="K316" s="7">
        <v>6.5</v>
      </c>
      <c r="L316" s="7"/>
      <c r="M316" s="7"/>
      <c r="N316" s="7"/>
      <c r="O316" s="2"/>
      <c r="P316" s="4"/>
      <c r="Q316" s="2"/>
      <c r="R316" s="2"/>
      <c r="S316" s="4"/>
    </row>
    <row r="317" spans="1:19">
      <c r="A317" s="7">
        <v>317</v>
      </c>
      <c r="B317" s="1">
        <v>45468.623252314799</v>
      </c>
      <c r="C317" s="1">
        <v>45468.626875000002</v>
      </c>
      <c r="D317" s="2" t="s">
        <v>19</v>
      </c>
      <c r="E317" s="2"/>
      <c r="F317" s="2" t="s">
        <v>20</v>
      </c>
      <c r="G317" s="2" t="s">
        <v>41</v>
      </c>
      <c r="H317" s="2"/>
      <c r="I317" s="7" t="str">
        <f>OfficeForms.Table[[#This Row],[Gruppe Blau]]&amp;OfficeForms.Table[[#This Row],[Gruppe Grün]]</f>
        <v>Nilpferd blau</v>
      </c>
      <c r="J317" s="2" t="s">
        <v>10</v>
      </c>
      <c r="K317" s="7">
        <v>5.25</v>
      </c>
      <c r="L317" s="7"/>
      <c r="M317" s="7"/>
      <c r="N317" s="7"/>
      <c r="O317" s="2"/>
      <c r="P317" s="4"/>
      <c r="Q317" s="2"/>
      <c r="R317" s="2"/>
      <c r="S317" s="4"/>
    </row>
    <row r="318" spans="1:19">
      <c r="A318" s="7">
        <v>318</v>
      </c>
      <c r="B318" s="1">
        <v>45468.622974537</v>
      </c>
      <c r="C318" s="1">
        <v>45468.627210648097</v>
      </c>
      <c r="D318" s="2" t="s">
        <v>19</v>
      </c>
      <c r="E318" s="2"/>
      <c r="F318" s="2" t="s">
        <v>20</v>
      </c>
      <c r="G318" s="2" t="s">
        <v>21</v>
      </c>
      <c r="H318" s="2"/>
      <c r="I318" s="7" t="str">
        <f>OfficeForms.Table[[#This Row],[Gruppe Blau]]&amp;OfficeForms.Table[[#This Row],[Gruppe Grün]]</f>
        <v>Giraffe blau</v>
      </c>
      <c r="J318" s="2" t="s">
        <v>10</v>
      </c>
      <c r="K318" s="7">
        <v>5.6</v>
      </c>
      <c r="L318" s="7"/>
      <c r="M318" s="7"/>
      <c r="N318" s="7"/>
      <c r="O318" s="2"/>
      <c r="P318" s="4"/>
      <c r="Q318" s="2"/>
      <c r="R318" s="2"/>
      <c r="S318" s="4"/>
    </row>
    <row r="319" spans="1:19">
      <c r="A319" s="7">
        <v>319</v>
      </c>
      <c r="B319" s="1">
        <v>45468.622766203698</v>
      </c>
      <c r="C319" s="1">
        <v>45468.630162037</v>
      </c>
      <c r="D319" s="2" t="s">
        <v>19</v>
      </c>
      <c r="E319" s="2"/>
      <c r="F319" s="2" t="s">
        <v>22</v>
      </c>
      <c r="G319" s="2"/>
      <c r="H319" s="2" t="s">
        <v>31</v>
      </c>
      <c r="I319" s="7" t="str">
        <f>OfficeForms.Table[[#This Row],[Gruppe Blau]]&amp;OfficeForms.Table[[#This Row],[Gruppe Grün]]</f>
        <v>Giraffe grün</v>
      </c>
      <c r="J319" s="2" t="s">
        <v>10</v>
      </c>
      <c r="K319" s="7">
        <v>6.6710000000000003</v>
      </c>
      <c r="L319" s="7"/>
      <c r="M319" s="7"/>
      <c r="N319" s="7"/>
      <c r="O319" s="2"/>
      <c r="P319" s="4"/>
      <c r="Q319" s="2"/>
      <c r="R319" s="2"/>
      <c r="S319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D4C1A-2FF7-4C9E-88DD-A72AB7F3A4E1}">
  <dimension ref="A1:AJ16"/>
  <sheetViews>
    <sheetView workbookViewId="0">
      <selection activeCell="A4" sqref="A4:XFD4"/>
    </sheetView>
  </sheetViews>
  <sheetFormatPr defaultColWidth="8.7109375" defaultRowHeight="14.45"/>
  <cols>
    <col min="1" max="1" width="29.140625" bestFit="1" customWidth="1"/>
    <col min="2" max="2" width="11" bestFit="1" customWidth="1"/>
    <col min="3" max="3" width="9.28515625" bestFit="1" customWidth="1"/>
    <col min="4" max="4" width="10.85546875" bestFit="1" customWidth="1"/>
    <col min="5" max="5" width="6.28515625" bestFit="1" customWidth="1"/>
    <col min="6" max="6" width="10.5703125" bestFit="1" customWidth="1"/>
    <col min="7" max="7" width="11" bestFit="1" customWidth="1"/>
    <col min="8" max="8" width="11.7109375" bestFit="1" customWidth="1"/>
    <col min="9" max="9" width="13.5703125" bestFit="1" customWidth="1"/>
    <col min="10" max="10" width="11.42578125" bestFit="1" customWidth="1"/>
    <col min="11" max="11" width="11.7109375" bestFit="1" customWidth="1"/>
    <col min="12" max="12" width="10.7109375" bestFit="1" customWidth="1"/>
    <col min="13" max="13" width="10.5703125" bestFit="1" customWidth="1"/>
    <col min="14" max="14" width="9.5703125" bestFit="1" customWidth="1"/>
    <col min="15" max="15" width="18.140625" bestFit="1" customWidth="1"/>
    <col min="16" max="16" width="8.7109375" bestFit="1" customWidth="1"/>
    <col min="17" max="17" width="8.85546875" bestFit="1" customWidth="1"/>
    <col min="18" max="18" width="12.5703125" bestFit="1" customWidth="1"/>
    <col min="19" max="19" width="13.7109375" bestFit="1" customWidth="1"/>
    <col min="20" max="20" width="12.7109375" bestFit="1" customWidth="1"/>
    <col min="21" max="21" width="12.85546875" bestFit="1" customWidth="1"/>
    <col min="22" max="22" width="10" bestFit="1" customWidth="1"/>
    <col min="23" max="23" width="18.28515625" bestFit="1" customWidth="1"/>
    <col min="24" max="24" width="10.42578125" bestFit="1" customWidth="1"/>
    <col min="25" max="25" width="11.28515625" bestFit="1" customWidth="1"/>
    <col min="26" max="26" width="10.28515625" bestFit="1" customWidth="1"/>
    <col min="27" max="27" width="11" bestFit="1" customWidth="1"/>
    <col min="28" max="28" width="9.28515625" bestFit="1" customWidth="1"/>
    <col min="29" max="29" width="11.85546875" bestFit="1" customWidth="1"/>
    <col min="30" max="30" width="10.140625" bestFit="1" customWidth="1"/>
    <col min="31" max="31" width="10.28515625" bestFit="1" customWidth="1"/>
    <col min="32" max="32" width="10.7109375" bestFit="1" customWidth="1"/>
    <col min="33" max="33" width="10.42578125" bestFit="1" customWidth="1"/>
    <col min="34" max="34" width="15.5703125" bestFit="1" customWidth="1"/>
    <col min="35" max="35" width="15.85546875" bestFit="1" customWidth="1"/>
    <col min="36" max="36" width="10.5703125" bestFit="1" customWidth="1"/>
    <col min="37" max="37" width="32.140625" bestFit="1" customWidth="1"/>
    <col min="38" max="38" width="29" bestFit="1" customWidth="1"/>
    <col min="39" max="39" width="32.85546875" bestFit="1" customWidth="1"/>
    <col min="40" max="40" width="35" bestFit="1" customWidth="1"/>
  </cols>
  <sheetData>
    <row r="1" spans="1:36">
      <c r="B1" s="3" t="s">
        <v>8</v>
      </c>
    </row>
    <row r="2" spans="1:36">
      <c r="A2" s="3" t="s">
        <v>55</v>
      </c>
      <c r="B2" t="s">
        <v>36</v>
      </c>
      <c r="C2" t="s">
        <v>28</v>
      </c>
      <c r="D2" t="s">
        <v>47</v>
      </c>
      <c r="E2" t="s">
        <v>56</v>
      </c>
      <c r="F2" t="s">
        <v>53</v>
      </c>
      <c r="G2" t="s">
        <v>33</v>
      </c>
      <c r="H2" t="s">
        <v>31</v>
      </c>
      <c r="I2" t="s">
        <v>39</v>
      </c>
      <c r="J2" t="s">
        <v>21</v>
      </c>
      <c r="K2" t="s">
        <v>48</v>
      </c>
      <c r="L2" t="s">
        <v>25</v>
      </c>
      <c r="M2" t="s">
        <v>52</v>
      </c>
      <c r="N2" t="s">
        <v>24</v>
      </c>
      <c r="O2" t="s">
        <v>40</v>
      </c>
      <c r="P2" t="s">
        <v>32</v>
      </c>
      <c r="Q2" t="s">
        <v>49</v>
      </c>
      <c r="S2" t="s">
        <v>51</v>
      </c>
      <c r="T2" t="s">
        <v>41</v>
      </c>
      <c r="U2" t="s">
        <v>38</v>
      </c>
      <c r="V2" t="s">
        <v>45</v>
      </c>
      <c r="W2" t="s">
        <v>44</v>
      </c>
      <c r="X2" t="s">
        <v>29</v>
      </c>
      <c r="Y2" t="s">
        <v>50</v>
      </c>
      <c r="Z2" t="s">
        <v>42</v>
      </c>
      <c r="AA2" t="s">
        <v>27</v>
      </c>
      <c r="AB2" t="s">
        <v>46</v>
      </c>
      <c r="AC2" t="s">
        <v>34</v>
      </c>
      <c r="AD2" t="s">
        <v>35</v>
      </c>
      <c r="AE2" t="s">
        <v>37</v>
      </c>
      <c r="AF2" t="s">
        <v>23</v>
      </c>
      <c r="AG2" t="s">
        <v>26</v>
      </c>
      <c r="AH2" t="s">
        <v>43</v>
      </c>
      <c r="AI2" t="s">
        <v>30</v>
      </c>
      <c r="AJ2" t="s">
        <v>54</v>
      </c>
    </row>
    <row r="3" spans="1:36">
      <c r="A3" t="s">
        <v>57</v>
      </c>
      <c r="B3" s="7">
        <v>23</v>
      </c>
      <c r="C3" s="7">
        <v>25</v>
      </c>
      <c r="D3" s="7">
        <v>9</v>
      </c>
      <c r="E3" s="7"/>
      <c r="F3" s="7"/>
      <c r="G3" s="7">
        <v>14</v>
      </c>
      <c r="H3" s="7">
        <v>6</v>
      </c>
      <c r="I3" s="7">
        <v>7</v>
      </c>
      <c r="J3" s="7">
        <v>10</v>
      </c>
      <c r="K3" s="7">
        <v>17</v>
      </c>
      <c r="L3" s="7">
        <v>3</v>
      </c>
      <c r="M3" s="7">
        <v>20</v>
      </c>
      <c r="N3" s="7">
        <v>1</v>
      </c>
      <c r="O3" s="7">
        <v>8</v>
      </c>
      <c r="P3" s="7">
        <v>19</v>
      </c>
      <c r="Q3" s="7">
        <v>18</v>
      </c>
      <c r="R3" s="7"/>
      <c r="S3" s="7">
        <v>4</v>
      </c>
      <c r="T3" s="7">
        <v>18</v>
      </c>
      <c r="U3" s="7">
        <v>22</v>
      </c>
      <c r="V3" s="7">
        <v>6</v>
      </c>
      <c r="W3" s="7">
        <v>2</v>
      </c>
      <c r="X3" s="7">
        <v>21</v>
      </c>
      <c r="Y3" s="7">
        <v>24</v>
      </c>
      <c r="Z3" s="7">
        <v>15</v>
      </c>
      <c r="AA3" s="7">
        <v>19</v>
      </c>
      <c r="AB3" s="7">
        <v>16</v>
      </c>
      <c r="AC3" s="7">
        <v>16</v>
      </c>
      <c r="AD3" s="7">
        <v>21</v>
      </c>
      <c r="AE3" s="7">
        <v>13</v>
      </c>
      <c r="AF3" s="7">
        <v>5</v>
      </c>
      <c r="AG3" s="7">
        <v>12</v>
      </c>
      <c r="AH3" s="7">
        <v>8</v>
      </c>
      <c r="AI3" s="7">
        <v>11</v>
      </c>
      <c r="AJ3" s="7"/>
    </row>
    <row r="4" spans="1:36">
      <c r="A4" t="s">
        <v>58</v>
      </c>
      <c r="B4" s="5">
        <v>7</v>
      </c>
      <c r="C4" s="5">
        <v>4</v>
      </c>
      <c r="D4" s="5">
        <v>10</v>
      </c>
      <c r="E4" s="5"/>
      <c r="F4" s="5">
        <v>14</v>
      </c>
      <c r="G4" s="5">
        <v>6</v>
      </c>
      <c r="H4" s="5">
        <v>5</v>
      </c>
      <c r="I4" s="5">
        <v>7</v>
      </c>
      <c r="J4" s="5">
        <v>1</v>
      </c>
      <c r="K4" s="5">
        <v>10</v>
      </c>
      <c r="L4" s="5">
        <v>3</v>
      </c>
      <c r="M4" s="5">
        <v>13</v>
      </c>
      <c r="N4" s="5">
        <v>3</v>
      </c>
      <c r="O4" s="5">
        <v>7</v>
      </c>
      <c r="P4" s="5">
        <v>5</v>
      </c>
      <c r="Q4" s="5">
        <v>11</v>
      </c>
      <c r="R4" s="5"/>
      <c r="S4" s="5">
        <v>12</v>
      </c>
      <c r="T4" s="5">
        <v>8</v>
      </c>
      <c r="U4" s="5">
        <v>7</v>
      </c>
      <c r="V4" s="5">
        <v>8</v>
      </c>
      <c r="W4" s="5">
        <v>8</v>
      </c>
      <c r="X4" s="5">
        <v>4</v>
      </c>
      <c r="Y4" s="5">
        <v>12</v>
      </c>
      <c r="Z4" s="5">
        <v>8</v>
      </c>
      <c r="AA4" s="5">
        <v>3</v>
      </c>
      <c r="AB4" s="5">
        <v>9</v>
      </c>
      <c r="AC4" s="5">
        <v>6</v>
      </c>
      <c r="AD4" s="5">
        <v>6</v>
      </c>
      <c r="AE4" s="5">
        <v>7</v>
      </c>
      <c r="AF4" s="5">
        <v>2</v>
      </c>
      <c r="AG4" s="5">
        <v>3</v>
      </c>
      <c r="AH4" s="5">
        <v>8</v>
      </c>
      <c r="AI4" s="5">
        <v>4</v>
      </c>
      <c r="AJ4" s="5"/>
    </row>
    <row r="5" spans="1:36">
      <c r="A5" t="s">
        <v>59</v>
      </c>
      <c r="B5" s="7">
        <v>2</v>
      </c>
      <c r="C5" s="7">
        <v>9</v>
      </c>
      <c r="D5" s="7">
        <v>23</v>
      </c>
      <c r="E5" s="7"/>
      <c r="F5" s="7">
        <v>6</v>
      </c>
      <c r="G5" s="7">
        <v>21</v>
      </c>
      <c r="H5" s="7">
        <v>19</v>
      </c>
      <c r="I5" s="7">
        <v>22</v>
      </c>
      <c r="J5" s="7">
        <v>27</v>
      </c>
      <c r="K5" s="7">
        <v>13</v>
      </c>
      <c r="L5" s="7">
        <v>5</v>
      </c>
      <c r="M5" s="7">
        <v>4</v>
      </c>
      <c r="N5" s="7">
        <v>20</v>
      </c>
      <c r="O5" s="7">
        <v>12</v>
      </c>
      <c r="P5" s="7">
        <v>7</v>
      </c>
      <c r="Q5" s="7">
        <v>7</v>
      </c>
      <c r="R5" s="7"/>
      <c r="S5" s="7">
        <v>26</v>
      </c>
      <c r="T5" s="7">
        <v>18</v>
      </c>
      <c r="U5" s="7">
        <v>20</v>
      </c>
      <c r="V5" s="7">
        <v>14</v>
      </c>
      <c r="W5" s="7">
        <v>24</v>
      </c>
      <c r="X5" s="7">
        <v>11</v>
      </c>
      <c r="Y5" s="7">
        <v>10</v>
      </c>
      <c r="Z5" s="7">
        <v>16</v>
      </c>
      <c r="AA5" s="7">
        <v>3</v>
      </c>
      <c r="AB5" s="7">
        <v>20</v>
      </c>
      <c r="AC5" s="7">
        <v>17</v>
      </c>
      <c r="AD5" s="7">
        <v>8</v>
      </c>
      <c r="AE5" s="7">
        <v>15</v>
      </c>
      <c r="AF5" s="7">
        <v>1</v>
      </c>
      <c r="AG5" s="7">
        <v>24</v>
      </c>
      <c r="AH5" s="7">
        <v>28</v>
      </c>
      <c r="AI5" s="7">
        <v>25</v>
      </c>
      <c r="AJ5" s="7"/>
    </row>
    <row r="6" spans="1:36">
      <c r="A6" t="s">
        <v>60</v>
      </c>
      <c r="B6" s="7">
        <v>9</v>
      </c>
      <c r="C6" s="7">
        <v>3</v>
      </c>
      <c r="D6" s="7">
        <v>4</v>
      </c>
      <c r="E6" s="7"/>
      <c r="F6" s="7">
        <v>7</v>
      </c>
      <c r="G6" s="7">
        <v>3</v>
      </c>
      <c r="H6" s="7">
        <v>3</v>
      </c>
      <c r="I6" s="7">
        <v>5</v>
      </c>
      <c r="J6" s="7">
        <v>3</v>
      </c>
      <c r="K6" s="7">
        <v>10</v>
      </c>
      <c r="L6" s="7">
        <v>4</v>
      </c>
      <c r="M6" s="7">
        <v>10</v>
      </c>
      <c r="N6" s="7">
        <v>6</v>
      </c>
      <c r="O6" s="7">
        <v>4</v>
      </c>
      <c r="P6" s="7">
        <v>2</v>
      </c>
      <c r="Q6" s="7">
        <v>7</v>
      </c>
      <c r="R6" s="7"/>
      <c r="S6" s="7">
        <v>6</v>
      </c>
      <c r="T6" s="7">
        <v>5</v>
      </c>
      <c r="U6" s="7">
        <v>1</v>
      </c>
      <c r="V6" s="7">
        <v>5</v>
      </c>
      <c r="W6" s="7">
        <v>6</v>
      </c>
      <c r="X6" s="7">
        <v>6</v>
      </c>
      <c r="Y6" s="7">
        <v>8</v>
      </c>
      <c r="Z6" s="7">
        <v>2</v>
      </c>
      <c r="AA6" s="7">
        <v>3</v>
      </c>
      <c r="AB6" s="7">
        <v>5</v>
      </c>
      <c r="AC6" s="7">
        <v>1</v>
      </c>
      <c r="AD6" s="7">
        <v>2</v>
      </c>
      <c r="AE6" s="7">
        <v>2</v>
      </c>
      <c r="AF6" s="7">
        <v>5</v>
      </c>
      <c r="AG6" s="7">
        <v>5</v>
      </c>
      <c r="AH6" s="7">
        <v>1</v>
      </c>
      <c r="AI6" s="7">
        <v>6</v>
      </c>
      <c r="AJ6" s="7"/>
    </row>
    <row r="7" spans="1:36">
      <c r="A7" t="s">
        <v>61</v>
      </c>
      <c r="B7" s="7">
        <v>7</v>
      </c>
      <c r="C7" s="7">
        <v>7</v>
      </c>
      <c r="D7" s="7">
        <v>3</v>
      </c>
      <c r="E7" s="7"/>
      <c r="F7" s="7"/>
      <c r="G7" s="7">
        <v>9</v>
      </c>
      <c r="H7" s="7">
        <v>5</v>
      </c>
      <c r="I7" s="7">
        <v>10</v>
      </c>
      <c r="J7" s="7">
        <v>3</v>
      </c>
      <c r="K7" s="7">
        <v>12</v>
      </c>
      <c r="L7" s="7">
        <v>9</v>
      </c>
      <c r="M7" s="7">
        <v>8</v>
      </c>
      <c r="N7" s="7">
        <v>12</v>
      </c>
      <c r="O7" s="7">
        <v>2</v>
      </c>
      <c r="P7" s="7">
        <v>14</v>
      </c>
      <c r="Q7" s="7">
        <v>6</v>
      </c>
      <c r="R7" s="7"/>
      <c r="S7" s="7">
        <v>13</v>
      </c>
      <c r="T7" s="7">
        <v>4</v>
      </c>
      <c r="U7" s="7">
        <v>6</v>
      </c>
      <c r="V7" s="7">
        <v>2</v>
      </c>
      <c r="W7" s="7"/>
      <c r="X7" s="7">
        <v>6</v>
      </c>
      <c r="Y7" s="7">
        <v>12</v>
      </c>
      <c r="Z7" s="7">
        <v>1</v>
      </c>
      <c r="AA7" s="7">
        <v>5</v>
      </c>
      <c r="AB7" s="7">
        <v>12</v>
      </c>
      <c r="AC7" s="7">
        <v>5</v>
      </c>
      <c r="AD7" s="7">
        <v>1</v>
      </c>
      <c r="AE7" s="7">
        <v>8</v>
      </c>
      <c r="AF7" s="7">
        <v>10</v>
      </c>
      <c r="AG7" s="7">
        <v>12</v>
      </c>
      <c r="AH7" s="7">
        <v>6</v>
      </c>
      <c r="AI7" s="7">
        <v>13</v>
      </c>
      <c r="AJ7" s="7">
        <v>11</v>
      </c>
    </row>
    <row r="8" spans="1:36">
      <c r="A8" t="s">
        <v>62</v>
      </c>
      <c r="B8" s="7">
        <v>20</v>
      </c>
      <c r="C8" s="7">
        <v>3</v>
      </c>
      <c r="D8" s="7">
        <v>6</v>
      </c>
      <c r="E8" s="7"/>
      <c r="F8" s="7">
        <v>21</v>
      </c>
      <c r="G8" s="7">
        <v>7</v>
      </c>
      <c r="H8" s="7">
        <v>13</v>
      </c>
      <c r="I8" s="7">
        <v>15</v>
      </c>
      <c r="J8" s="7">
        <v>4</v>
      </c>
      <c r="K8" s="7">
        <v>24</v>
      </c>
      <c r="L8" s="7">
        <v>12</v>
      </c>
      <c r="M8" s="7">
        <v>2</v>
      </c>
      <c r="N8" s="7">
        <v>27</v>
      </c>
      <c r="O8" s="7">
        <v>8</v>
      </c>
      <c r="P8" s="7">
        <v>18</v>
      </c>
      <c r="Q8" s="7">
        <v>23</v>
      </c>
      <c r="R8" s="7"/>
      <c r="S8" s="7">
        <v>17</v>
      </c>
      <c r="T8" s="7">
        <v>7</v>
      </c>
      <c r="U8" s="7">
        <v>10</v>
      </c>
      <c r="V8" s="7">
        <v>16</v>
      </c>
      <c r="W8" s="7">
        <v>25</v>
      </c>
      <c r="X8" s="7">
        <v>15</v>
      </c>
      <c r="Y8" s="7">
        <v>14</v>
      </c>
      <c r="Z8" s="7"/>
      <c r="AA8" s="7">
        <v>1</v>
      </c>
      <c r="AB8" s="7">
        <v>11</v>
      </c>
      <c r="AC8" s="7">
        <v>22</v>
      </c>
      <c r="AD8" s="7">
        <v>5</v>
      </c>
      <c r="AE8" s="7">
        <v>28</v>
      </c>
      <c r="AF8" s="7">
        <v>26</v>
      </c>
      <c r="AG8" s="7">
        <v>9</v>
      </c>
      <c r="AH8" s="7">
        <v>19</v>
      </c>
      <c r="AI8" s="7">
        <v>10</v>
      </c>
      <c r="AJ8" s="7"/>
    </row>
    <row r="9" spans="1:36">
      <c r="A9" t="s">
        <v>63</v>
      </c>
      <c r="B9" s="7">
        <v>6</v>
      </c>
      <c r="C9" s="7">
        <v>5</v>
      </c>
      <c r="D9" s="7">
        <v>8</v>
      </c>
      <c r="E9" s="7"/>
      <c r="F9" s="7">
        <v>3</v>
      </c>
      <c r="G9" s="7">
        <v>10</v>
      </c>
      <c r="H9" s="7">
        <v>9</v>
      </c>
      <c r="I9" s="7">
        <v>6</v>
      </c>
      <c r="J9" s="7">
        <v>1</v>
      </c>
      <c r="K9" s="7">
        <v>6</v>
      </c>
      <c r="L9" s="7">
        <v>2</v>
      </c>
      <c r="M9" s="7">
        <v>6</v>
      </c>
      <c r="N9" s="7">
        <v>2</v>
      </c>
      <c r="O9" s="7">
        <v>4</v>
      </c>
      <c r="P9" s="7">
        <v>3</v>
      </c>
      <c r="Q9" s="7">
        <v>7</v>
      </c>
      <c r="R9" s="7"/>
      <c r="S9" s="7">
        <v>6</v>
      </c>
      <c r="T9" s="7">
        <v>4</v>
      </c>
      <c r="U9" s="7">
        <v>1</v>
      </c>
      <c r="V9" s="7">
        <v>6</v>
      </c>
      <c r="W9" s="7">
        <v>6</v>
      </c>
      <c r="X9" s="7">
        <v>6</v>
      </c>
      <c r="Y9" s="7">
        <v>6</v>
      </c>
      <c r="Z9" s="7">
        <v>5</v>
      </c>
      <c r="AA9" s="7">
        <v>3</v>
      </c>
      <c r="AB9" s="7">
        <v>6</v>
      </c>
      <c r="AC9" s="7">
        <v>5</v>
      </c>
      <c r="AD9" s="7">
        <v>7</v>
      </c>
      <c r="AE9" s="7">
        <v>10</v>
      </c>
      <c r="AF9" s="7">
        <v>3</v>
      </c>
      <c r="AG9" s="7">
        <v>7</v>
      </c>
      <c r="AH9" s="7">
        <v>9</v>
      </c>
      <c r="AI9" s="7">
        <v>6</v>
      </c>
      <c r="AJ9" s="7"/>
    </row>
    <row r="10" spans="1:36">
      <c r="A10" t="s">
        <v>64</v>
      </c>
      <c r="B10" s="7">
        <v>6</v>
      </c>
      <c r="C10" s="7">
        <v>7</v>
      </c>
      <c r="D10" s="7">
        <v>15</v>
      </c>
      <c r="E10" s="7"/>
      <c r="F10" s="7">
        <v>17</v>
      </c>
      <c r="G10" s="7">
        <v>2</v>
      </c>
      <c r="H10" s="7">
        <v>19</v>
      </c>
      <c r="I10" s="7">
        <v>8</v>
      </c>
      <c r="J10" s="7">
        <v>3</v>
      </c>
      <c r="K10" s="7">
        <v>11</v>
      </c>
      <c r="L10" s="7">
        <v>4</v>
      </c>
      <c r="M10" s="7">
        <v>15</v>
      </c>
      <c r="N10" s="7">
        <v>13</v>
      </c>
      <c r="O10" s="7">
        <v>21</v>
      </c>
      <c r="P10" s="7">
        <v>8</v>
      </c>
      <c r="Q10" s="7">
        <v>9</v>
      </c>
      <c r="R10" s="7"/>
      <c r="S10" s="7">
        <v>10</v>
      </c>
      <c r="T10" s="7">
        <v>1</v>
      </c>
      <c r="U10" s="7">
        <v>17</v>
      </c>
      <c r="V10" s="7">
        <v>4</v>
      </c>
      <c r="W10" s="7"/>
      <c r="X10" s="7">
        <v>12</v>
      </c>
      <c r="Y10" s="7">
        <v>14</v>
      </c>
      <c r="Z10" s="7">
        <v>4</v>
      </c>
      <c r="AA10" s="7">
        <v>11</v>
      </c>
      <c r="AB10" s="7">
        <v>20</v>
      </c>
      <c r="AC10" s="7">
        <v>10</v>
      </c>
      <c r="AD10" s="7">
        <v>5</v>
      </c>
      <c r="AE10" s="7">
        <v>16</v>
      </c>
      <c r="AF10" s="7">
        <v>7</v>
      </c>
      <c r="AG10" s="7">
        <v>11</v>
      </c>
      <c r="AH10" s="7">
        <v>16</v>
      </c>
      <c r="AI10" s="7">
        <v>18</v>
      </c>
      <c r="AJ10" s="7"/>
    </row>
    <row r="11" spans="1:36">
      <c r="A11" t="s">
        <v>65</v>
      </c>
      <c r="B11" s="7">
        <v>5</v>
      </c>
      <c r="C11" s="7">
        <v>4</v>
      </c>
      <c r="D11" s="7">
        <v>2</v>
      </c>
      <c r="E11" s="7"/>
      <c r="F11" s="7">
        <v>1</v>
      </c>
      <c r="G11" s="7">
        <v>4</v>
      </c>
      <c r="H11" s="7">
        <v>1</v>
      </c>
      <c r="I11" s="7">
        <v>3</v>
      </c>
      <c r="J11" s="7">
        <v>3</v>
      </c>
      <c r="K11" s="7">
        <v>1</v>
      </c>
      <c r="L11" s="7">
        <v>3</v>
      </c>
      <c r="M11" s="7">
        <v>1</v>
      </c>
      <c r="N11" s="7">
        <v>2</v>
      </c>
      <c r="O11" s="7">
        <v>1</v>
      </c>
      <c r="P11" s="7">
        <v>2</v>
      </c>
      <c r="Q11" s="7">
        <v>2</v>
      </c>
      <c r="R11" s="7"/>
      <c r="S11" s="7">
        <v>2</v>
      </c>
      <c r="T11" s="7"/>
      <c r="U11" s="7">
        <v>2</v>
      </c>
      <c r="V11" s="7"/>
      <c r="W11" s="7">
        <v>3</v>
      </c>
      <c r="X11" s="7">
        <v>1</v>
      </c>
      <c r="Y11" s="7"/>
      <c r="Z11" s="7">
        <v>6</v>
      </c>
      <c r="AA11" s="7">
        <v>3</v>
      </c>
      <c r="AB11" s="7">
        <v>2</v>
      </c>
      <c r="AC11" s="7">
        <v>3</v>
      </c>
      <c r="AD11" s="7"/>
      <c r="AE11" s="7">
        <v>4</v>
      </c>
      <c r="AF11" s="7">
        <v>4</v>
      </c>
      <c r="AG11" s="7">
        <v>2</v>
      </c>
      <c r="AH11" s="7">
        <v>2</v>
      </c>
      <c r="AI11" s="7">
        <v>3</v>
      </c>
      <c r="AJ11" s="7"/>
    </row>
    <row r="14" spans="1:36">
      <c r="A14" t="s">
        <v>66</v>
      </c>
      <c r="B14">
        <f>SUM(B3:B11)</f>
        <v>85</v>
      </c>
      <c r="C14">
        <f t="shared" ref="C14:AI14" si="0">SUM(C3:C11)</f>
        <v>67</v>
      </c>
      <c r="D14">
        <f t="shared" si="0"/>
        <v>80</v>
      </c>
      <c r="E14">
        <f t="shared" si="0"/>
        <v>0</v>
      </c>
      <c r="F14">
        <f t="shared" si="0"/>
        <v>69</v>
      </c>
      <c r="G14">
        <f t="shared" si="0"/>
        <v>76</v>
      </c>
      <c r="H14">
        <f t="shared" si="0"/>
        <v>80</v>
      </c>
      <c r="I14">
        <f t="shared" si="0"/>
        <v>83</v>
      </c>
      <c r="J14">
        <f t="shared" si="0"/>
        <v>55</v>
      </c>
      <c r="K14">
        <f t="shared" si="0"/>
        <v>104</v>
      </c>
      <c r="L14">
        <f t="shared" si="0"/>
        <v>45</v>
      </c>
      <c r="M14">
        <f t="shared" si="0"/>
        <v>79</v>
      </c>
      <c r="N14">
        <f t="shared" si="0"/>
        <v>86</v>
      </c>
      <c r="O14">
        <f t="shared" si="0"/>
        <v>67</v>
      </c>
      <c r="P14">
        <f t="shared" si="0"/>
        <v>78</v>
      </c>
      <c r="Q14">
        <f t="shared" si="0"/>
        <v>90</v>
      </c>
      <c r="R14">
        <f t="shared" si="0"/>
        <v>0</v>
      </c>
      <c r="S14">
        <f t="shared" si="0"/>
        <v>96</v>
      </c>
      <c r="T14">
        <f t="shared" si="0"/>
        <v>65</v>
      </c>
      <c r="U14">
        <f t="shared" si="0"/>
        <v>86</v>
      </c>
      <c r="V14">
        <f t="shared" si="0"/>
        <v>61</v>
      </c>
      <c r="W14">
        <f t="shared" si="0"/>
        <v>74</v>
      </c>
      <c r="X14">
        <f t="shared" si="0"/>
        <v>82</v>
      </c>
      <c r="Y14">
        <f t="shared" si="0"/>
        <v>100</v>
      </c>
      <c r="Z14">
        <f t="shared" si="0"/>
        <v>57</v>
      </c>
      <c r="AA14">
        <f t="shared" si="0"/>
        <v>51</v>
      </c>
      <c r="AB14">
        <f t="shared" si="0"/>
        <v>101</v>
      </c>
      <c r="AC14">
        <f t="shared" si="0"/>
        <v>85</v>
      </c>
      <c r="AD14">
        <f t="shared" si="0"/>
        <v>55</v>
      </c>
      <c r="AE14">
        <f t="shared" si="0"/>
        <v>103</v>
      </c>
      <c r="AF14">
        <f t="shared" si="0"/>
        <v>63</v>
      </c>
      <c r="AG14">
        <f t="shared" si="0"/>
        <v>85</v>
      </c>
      <c r="AH14">
        <f t="shared" si="0"/>
        <v>97</v>
      </c>
      <c r="AI14">
        <f t="shared" si="0"/>
        <v>96</v>
      </c>
    </row>
    <row r="16" spans="1:36">
      <c r="A16" t="s">
        <v>67</v>
      </c>
      <c r="B16">
        <f>_xlfn.RANK.EQ(B14,$B$14:$AI$14,0)</f>
        <v>11</v>
      </c>
      <c r="C16">
        <f t="shared" ref="C16:AI16" si="1">_xlfn.RANK.EQ(C14,$B$14:$AI$14,0)</f>
        <v>23</v>
      </c>
      <c r="D16">
        <f t="shared" si="1"/>
        <v>16</v>
      </c>
      <c r="E16">
        <f t="shared" si="1"/>
        <v>33</v>
      </c>
      <c r="F16">
        <f>_xlfn.RANK.EQ(F14,$B$14:$AI$14,0)</f>
        <v>22</v>
      </c>
      <c r="G16">
        <f t="shared" si="1"/>
        <v>20</v>
      </c>
      <c r="H16">
        <f t="shared" si="1"/>
        <v>16</v>
      </c>
      <c r="I16">
        <f t="shared" si="1"/>
        <v>14</v>
      </c>
      <c r="J16">
        <f t="shared" si="1"/>
        <v>29</v>
      </c>
      <c r="K16">
        <f t="shared" si="1"/>
        <v>1</v>
      </c>
      <c r="L16">
        <f t="shared" si="1"/>
        <v>32</v>
      </c>
      <c r="M16">
        <f t="shared" si="1"/>
        <v>18</v>
      </c>
      <c r="N16">
        <f>_xlfn.RANK.EQ(N14,$B$14:$AI$14,0)</f>
        <v>9</v>
      </c>
      <c r="O16">
        <f t="shared" ref="O16:AI16" si="2">_xlfn.RANK.EQ(O14,$B$14:$AI$14,0)</f>
        <v>23</v>
      </c>
      <c r="P16">
        <f t="shared" si="1"/>
        <v>19</v>
      </c>
      <c r="Q16">
        <f t="shared" si="1"/>
        <v>8</v>
      </c>
      <c r="R16">
        <f t="shared" si="1"/>
        <v>33</v>
      </c>
      <c r="S16">
        <f t="shared" si="1"/>
        <v>6</v>
      </c>
      <c r="T16">
        <f t="shared" si="1"/>
        <v>25</v>
      </c>
      <c r="U16">
        <f t="shared" si="1"/>
        <v>9</v>
      </c>
      <c r="V16">
        <f t="shared" si="1"/>
        <v>27</v>
      </c>
      <c r="W16">
        <f t="shared" si="1"/>
        <v>21</v>
      </c>
      <c r="X16">
        <f t="shared" si="1"/>
        <v>15</v>
      </c>
      <c r="Y16">
        <f t="shared" si="1"/>
        <v>4</v>
      </c>
      <c r="Z16">
        <f t="shared" si="1"/>
        <v>28</v>
      </c>
      <c r="AA16">
        <f t="shared" si="1"/>
        <v>31</v>
      </c>
      <c r="AB16">
        <f t="shared" si="1"/>
        <v>3</v>
      </c>
      <c r="AC16">
        <f t="shared" si="1"/>
        <v>11</v>
      </c>
      <c r="AD16">
        <f t="shared" si="1"/>
        <v>29</v>
      </c>
      <c r="AE16">
        <f t="shared" si="1"/>
        <v>2</v>
      </c>
      <c r="AF16">
        <f t="shared" si="1"/>
        <v>26</v>
      </c>
      <c r="AG16">
        <f t="shared" si="1"/>
        <v>11</v>
      </c>
      <c r="AH16">
        <f t="shared" si="1"/>
        <v>5</v>
      </c>
      <c r="AI16">
        <f t="shared" si="1"/>
        <v>6</v>
      </c>
    </row>
  </sheetData>
  <conditionalFormatting sqref="B16:AI16">
    <cfRule type="cellIs" dxfId="2" priority="1" operator="equal">
      <formula>1</formula>
    </cfRule>
    <cfRule type="cellIs" dxfId="1" priority="2" operator="equal">
      <formula>2</formula>
    </cfRule>
    <cfRule type="cellIs" dxfId="0" priority="3" operator="equal">
      <formula>3</formula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D616-C0CF-421F-B7B3-747E55AF90AF}">
  <dimension ref="A1:C33"/>
  <sheetViews>
    <sheetView tabSelected="1" workbookViewId="0">
      <selection activeCell="D11" sqref="D11"/>
    </sheetView>
  </sheetViews>
  <sheetFormatPr defaultRowHeight="15"/>
  <cols>
    <col min="2" max="2" width="18.85546875" customWidth="1"/>
    <col min="3" max="3" width="9.7109375" bestFit="1" customWidth="1"/>
  </cols>
  <sheetData>
    <row r="1" spans="1:3">
      <c r="A1" t="s">
        <v>68</v>
      </c>
      <c r="B1" t="s">
        <v>8</v>
      </c>
      <c r="C1" t="s">
        <v>69</v>
      </c>
    </row>
    <row r="2" spans="1:3">
      <c r="A2">
        <v>1</v>
      </c>
      <c r="B2" t="s">
        <v>70</v>
      </c>
      <c r="C2">
        <f>Tabelle1!K14</f>
        <v>104</v>
      </c>
    </row>
    <row r="3" spans="1:3">
      <c r="A3">
        <v>2</v>
      </c>
      <c r="B3" t="s">
        <v>71</v>
      </c>
      <c r="C3">
        <f>Tabelle1!AE14</f>
        <v>103</v>
      </c>
    </row>
    <row r="4" spans="1:3">
      <c r="A4">
        <v>3</v>
      </c>
      <c r="B4" t="s">
        <v>72</v>
      </c>
      <c r="C4">
        <f>Tabelle1!AB14</f>
        <v>101</v>
      </c>
    </row>
    <row r="5" spans="1:3">
      <c r="A5">
        <v>4</v>
      </c>
      <c r="B5" t="s">
        <v>50</v>
      </c>
      <c r="C5">
        <f>Tabelle1!Y14</f>
        <v>100</v>
      </c>
    </row>
    <row r="6" spans="1:3">
      <c r="A6">
        <v>5</v>
      </c>
      <c r="B6" t="s">
        <v>73</v>
      </c>
      <c r="C6">
        <f>Tabelle1!AH14</f>
        <v>97</v>
      </c>
    </row>
    <row r="7" spans="1:3">
      <c r="A7">
        <v>6</v>
      </c>
      <c r="B7" t="s">
        <v>51</v>
      </c>
      <c r="C7">
        <f>Tabelle1!S14</f>
        <v>96</v>
      </c>
    </row>
    <row r="8" spans="1:3">
      <c r="A8">
        <v>6</v>
      </c>
      <c r="B8" t="s">
        <v>30</v>
      </c>
      <c r="C8">
        <f>Tabelle1!AI14</f>
        <v>96</v>
      </c>
    </row>
    <row r="9" spans="1:3">
      <c r="A9">
        <v>8</v>
      </c>
      <c r="B9" t="s">
        <v>49</v>
      </c>
      <c r="C9">
        <f>Tabelle1!Q14</f>
        <v>90</v>
      </c>
    </row>
    <row r="10" spans="1:3">
      <c r="A10">
        <v>9</v>
      </c>
      <c r="B10" t="s">
        <v>24</v>
      </c>
      <c r="C10">
        <f>Tabelle1!N14</f>
        <v>86</v>
      </c>
    </row>
    <row r="11" spans="1:3">
      <c r="A11">
        <v>9</v>
      </c>
      <c r="B11" t="s">
        <v>38</v>
      </c>
      <c r="C11">
        <f>Tabelle1!U14</f>
        <v>86</v>
      </c>
    </row>
    <row r="12" spans="1:3">
      <c r="A12">
        <v>11</v>
      </c>
      <c r="B12" t="s">
        <v>36</v>
      </c>
      <c r="C12">
        <f>Tabelle1!B14</f>
        <v>85</v>
      </c>
    </row>
    <row r="13" spans="1:3">
      <c r="A13">
        <v>12</v>
      </c>
      <c r="B13" t="s">
        <v>34</v>
      </c>
      <c r="C13">
        <f>Tabelle1!AC14</f>
        <v>85</v>
      </c>
    </row>
    <row r="14" spans="1:3">
      <c r="A14">
        <v>13</v>
      </c>
      <c r="B14" t="s">
        <v>74</v>
      </c>
      <c r="C14">
        <f>Tabelle1!AG14</f>
        <v>85</v>
      </c>
    </row>
    <row r="15" spans="1:3">
      <c r="A15">
        <v>14</v>
      </c>
      <c r="B15" t="s">
        <v>75</v>
      </c>
      <c r="C15">
        <f>Tabelle1!I14</f>
        <v>83</v>
      </c>
    </row>
    <row r="16" spans="1:3">
      <c r="A16">
        <v>15</v>
      </c>
      <c r="B16" t="s">
        <v>29</v>
      </c>
      <c r="C16">
        <f>Tabelle1!X14</f>
        <v>82</v>
      </c>
    </row>
    <row r="17" spans="1:3">
      <c r="A17">
        <v>16</v>
      </c>
      <c r="B17" t="s">
        <v>47</v>
      </c>
      <c r="C17">
        <f>Tabelle1!D14</f>
        <v>80</v>
      </c>
    </row>
    <row r="18" spans="1:3">
      <c r="A18">
        <v>17</v>
      </c>
      <c r="B18" t="s">
        <v>31</v>
      </c>
      <c r="C18">
        <f>Tabelle1!H14</f>
        <v>80</v>
      </c>
    </row>
    <row r="19" spans="1:3">
      <c r="A19">
        <v>18</v>
      </c>
      <c r="B19" t="s">
        <v>52</v>
      </c>
      <c r="C19">
        <f>Tabelle1!M14</f>
        <v>79</v>
      </c>
    </row>
    <row r="20" spans="1:3">
      <c r="A20">
        <v>19</v>
      </c>
      <c r="B20" t="s">
        <v>76</v>
      </c>
      <c r="C20">
        <f>Tabelle1!P14</f>
        <v>78</v>
      </c>
    </row>
    <row r="21" spans="1:3">
      <c r="A21">
        <v>20</v>
      </c>
      <c r="B21" t="s">
        <v>33</v>
      </c>
      <c r="C21">
        <f>Tabelle1!G14</f>
        <v>76</v>
      </c>
    </row>
    <row r="22" spans="1:3">
      <c r="A22">
        <v>21</v>
      </c>
      <c r="B22" t="s">
        <v>44</v>
      </c>
      <c r="C22">
        <f>Tabelle1!W14</f>
        <v>74</v>
      </c>
    </row>
    <row r="23" spans="1:3">
      <c r="A23">
        <v>22</v>
      </c>
      <c r="B23" t="s">
        <v>54</v>
      </c>
      <c r="C23">
        <f>Tabelle1!F14</f>
        <v>69</v>
      </c>
    </row>
    <row r="24" spans="1:3">
      <c r="A24">
        <v>23</v>
      </c>
      <c r="B24" t="s">
        <v>28</v>
      </c>
      <c r="C24">
        <f>Tabelle1!C14</f>
        <v>67</v>
      </c>
    </row>
    <row r="25" spans="1:3">
      <c r="A25">
        <v>24</v>
      </c>
      <c r="B25" t="s">
        <v>77</v>
      </c>
      <c r="C25">
        <f>Tabelle1!O14</f>
        <v>67</v>
      </c>
    </row>
    <row r="26" spans="1:3">
      <c r="A26">
        <v>25</v>
      </c>
      <c r="B26" t="s">
        <v>78</v>
      </c>
      <c r="C26">
        <f>Tabelle1!T14</f>
        <v>65</v>
      </c>
    </row>
    <row r="27" spans="1:3">
      <c r="A27">
        <v>26</v>
      </c>
      <c r="B27" t="s">
        <v>23</v>
      </c>
      <c r="C27">
        <f>Tabelle1!AF14</f>
        <v>63</v>
      </c>
    </row>
    <row r="28" spans="1:3">
      <c r="A28">
        <v>27</v>
      </c>
      <c r="B28" t="s">
        <v>79</v>
      </c>
      <c r="C28">
        <f>Tabelle1!V14</f>
        <v>61</v>
      </c>
    </row>
    <row r="29" spans="1:3">
      <c r="A29">
        <v>28</v>
      </c>
      <c r="B29" t="s">
        <v>80</v>
      </c>
      <c r="C29">
        <f>Tabelle1!Z14</f>
        <v>57</v>
      </c>
    </row>
    <row r="30" spans="1:3">
      <c r="A30">
        <v>29</v>
      </c>
      <c r="B30" t="s">
        <v>35</v>
      </c>
      <c r="C30">
        <f>Tabelle1!AD14</f>
        <v>55</v>
      </c>
    </row>
    <row r="31" spans="1:3">
      <c r="A31">
        <v>30</v>
      </c>
      <c r="B31" t="s">
        <v>81</v>
      </c>
      <c r="C31">
        <f>Tabelle1!J14</f>
        <v>55</v>
      </c>
    </row>
    <row r="32" spans="1:3">
      <c r="A32">
        <v>31</v>
      </c>
      <c r="B32" t="s">
        <v>82</v>
      </c>
      <c r="C32">
        <f>Tabelle1!AA14</f>
        <v>51</v>
      </c>
    </row>
    <row r="33" spans="1:3">
      <c r="A33">
        <v>32</v>
      </c>
      <c r="B33" t="s">
        <v>25</v>
      </c>
      <c r="C33">
        <f>Tabelle1!L14</f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Andreas Bänninger</cp:lastModifiedBy>
  <cp:revision/>
  <dcterms:created xsi:type="dcterms:W3CDTF">2024-03-18T15:30:41Z</dcterms:created>
  <dcterms:modified xsi:type="dcterms:W3CDTF">2024-06-25T13:08:39Z</dcterms:modified>
  <cp:category/>
  <cp:contentStatus/>
</cp:coreProperties>
</file>